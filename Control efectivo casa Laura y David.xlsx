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casa" sheetId="1" r:id="rId5"/>
    <sheet state="visible" name="Matrimonio" sheetId="2" r:id="rId6"/>
  </sheets>
  <definedNames>
    <definedName hidden="1" localSheetId="0" name="_xlnm._FilterDatabase">'Gastos casa'!$A$1:$D$525</definedName>
    <definedName hidden="1" localSheetId="1" name="_xlnm._FilterDatabase">Matrimonio!$A$1:$E$33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tc={7c3b02cd-6adc-47b6-b585-a9fb6d193bcf}</author>
  </authors>
  <commentList>
    <comment authorId="0" ref="R16">
      <text>
        <t xml:space="preserve">Vacunas de Berlin + Purgante
</t>
      </text>
    </comment>
    <comment authorId="0" ref="R17">
      <text>
        <t xml:space="preserve">Metodo de planificación
</t>
      </text>
    </comment>
    <comment authorId="0" ref="R18">
      <text>
        <t xml:space="preserve">Metodo de planificación
</t>
      </text>
    </comment>
    <comment authorId="0" ref="R19">
      <text>
        <t xml:space="preserve">Metodo de planificación
</t>
      </text>
    </comment>
    <comment authorId="0" ref="R20">
      <text>
        <t xml:space="preserve">Metodo de planificación
</t>
      </text>
    </comment>
    <comment authorId="1" xr:uid="{7c3b02cd-6adc-47b6-b585-a9fb6d193bcf}" ref="K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Impuesto vehicular
</t>
      </text>
    </comment>
  </commentList>
</comments>
</file>

<file path=xl/sharedStrings.xml><?xml version="1.0" encoding="utf-8"?>
<sst xmlns="http://schemas.openxmlformats.org/spreadsheetml/2006/main" count="1378" uniqueCount="254">
  <si>
    <t>Fecha</t>
  </si>
  <si>
    <t>Categoría</t>
  </si>
  <si>
    <t>Concepto</t>
  </si>
  <si>
    <t>Valor</t>
  </si>
  <si>
    <t>Año</t>
  </si>
  <si>
    <t>Mes</t>
  </si>
  <si>
    <t>Cortinas</t>
  </si>
  <si>
    <t>Pagos David</t>
  </si>
  <si>
    <t>Pagos Laura</t>
  </si>
  <si>
    <t>Diferencia</t>
  </si>
  <si>
    <t>Diferencia x Persona</t>
  </si>
  <si>
    <t>Poliza David</t>
  </si>
  <si>
    <t>Diferencia x Persona - Poliza David</t>
  </si>
  <si>
    <t>Estado</t>
  </si>
  <si>
    <t>Pendientes por pagar</t>
  </si>
  <si>
    <t>Carro</t>
  </si>
  <si>
    <t>Gasolina</t>
  </si>
  <si>
    <t>Parques Orlando</t>
  </si>
  <si>
    <t>Credito + Seguro</t>
  </si>
  <si>
    <t>Mantenimiento Carro</t>
  </si>
  <si>
    <t>Silla</t>
  </si>
  <si>
    <t>Total</t>
  </si>
  <si>
    <t>Credito Apto</t>
  </si>
  <si>
    <t xml:space="preserve">Predial </t>
  </si>
  <si>
    <t>administración</t>
  </si>
  <si>
    <t>Otros (Muebles)</t>
  </si>
  <si>
    <t>Otros</t>
  </si>
  <si>
    <t>Total Laura</t>
  </si>
  <si>
    <t>Categoria</t>
  </si>
  <si>
    <t>Persona</t>
  </si>
  <si>
    <t>Mercado</t>
  </si>
  <si>
    <t>Prooveduria</t>
  </si>
  <si>
    <t>Diciembre</t>
  </si>
  <si>
    <t>Pagado</t>
  </si>
  <si>
    <t>Corredores</t>
  </si>
  <si>
    <t>David</t>
  </si>
  <si>
    <t>D1</t>
  </si>
  <si>
    <t>Enero</t>
  </si>
  <si>
    <t>Cuenta Colpatria Mamá</t>
  </si>
  <si>
    <t>Febrero</t>
  </si>
  <si>
    <t>Coopantex Mama</t>
  </si>
  <si>
    <t xml:space="preserve">Carulla </t>
  </si>
  <si>
    <t>Marzo</t>
  </si>
  <si>
    <t>Abril</t>
  </si>
  <si>
    <t>mayo</t>
  </si>
  <si>
    <t>Se pago cruzado con Gretel</t>
  </si>
  <si>
    <t>Dollarcity</t>
  </si>
  <si>
    <t>junio</t>
  </si>
  <si>
    <t>julio</t>
  </si>
  <si>
    <t>agosto</t>
  </si>
  <si>
    <t>Berlin</t>
  </si>
  <si>
    <t>septiembre</t>
  </si>
  <si>
    <t>Pricesmart</t>
  </si>
  <si>
    <t>octubre</t>
  </si>
  <si>
    <t>Homcenter</t>
  </si>
  <si>
    <t>noviembre</t>
  </si>
  <si>
    <t>diciembre</t>
  </si>
  <si>
    <t>enero</t>
  </si>
  <si>
    <t>febrero</t>
  </si>
  <si>
    <t>marzo</t>
  </si>
  <si>
    <t>Pagados $250.000 y $30.000 de Rodri</t>
  </si>
  <si>
    <t>Justo &amp; Bueno</t>
  </si>
  <si>
    <t>abril</t>
  </si>
  <si>
    <t>Se cruza con el pago de los servicios del 28/08/2022</t>
  </si>
  <si>
    <t>Servicios</t>
  </si>
  <si>
    <t>Energia - Vatia</t>
  </si>
  <si>
    <t>faltan 100.000, se abonan $350.000, se abonan $69.062 de enero 2023, se abonan 70.000 de marzo 2023 , se abonan 150.000 5 de abril 2023</t>
  </si>
  <si>
    <t>Se abonan $280.00 laura pago $233.000</t>
  </si>
  <si>
    <t>UNE</t>
  </si>
  <si>
    <t xml:space="preserve">proceso </t>
  </si>
  <si>
    <t xml:space="preserve">se abonan 106.000 de los del ces + 69.062 que sobraban faltan 281.000 </t>
  </si>
  <si>
    <t>Pagado 443279, Sobran $69.062</t>
  </si>
  <si>
    <t>se abonan 618500 (pago abril madelo)  faltan 114257</t>
  </si>
  <si>
    <t xml:space="preserve">16/05/2023 320.000 pago CES LAURA LO GUARDA PARA PAGAR CREDITO APTO </t>
  </si>
  <si>
    <t>Frutivos</t>
  </si>
  <si>
    <t>Pendiente</t>
  </si>
  <si>
    <t>EPM</t>
  </si>
  <si>
    <t>Lavada Carro</t>
  </si>
  <si>
    <t>Empleada</t>
  </si>
  <si>
    <t>Merkapaisa</t>
  </si>
  <si>
    <t>La casa del granjero</t>
  </si>
  <si>
    <t>Rancherito</t>
  </si>
  <si>
    <t>Merkepaisa</t>
  </si>
  <si>
    <t>Drogueria</t>
  </si>
  <si>
    <t>Sushi</t>
  </si>
  <si>
    <t>Le palito</t>
  </si>
  <si>
    <t>Euro</t>
  </si>
  <si>
    <t>Portum</t>
  </si>
  <si>
    <t>Edea Grooming</t>
  </si>
  <si>
    <t>La vaquita</t>
  </si>
  <si>
    <t>Pre pagada Berlin</t>
  </si>
  <si>
    <t>Vet Berlin</t>
  </si>
  <si>
    <t>Santa Leña</t>
  </si>
  <si>
    <t>Sushi Light</t>
  </si>
  <si>
    <t>Garden Berlin</t>
  </si>
  <si>
    <t>Anse Electronics</t>
  </si>
  <si>
    <t>Exito</t>
  </si>
  <si>
    <t>Mc Donalds</t>
  </si>
  <si>
    <t>Botica Junin</t>
  </si>
  <si>
    <t>Pecositas</t>
  </si>
  <si>
    <t>Olimpica</t>
  </si>
  <si>
    <t>Farmacia</t>
  </si>
  <si>
    <t>Cambio Chapa</t>
  </si>
  <si>
    <t>Cuota Mueble</t>
  </si>
  <si>
    <t>Mc donalds</t>
  </si>
  <si>
    <t>Supernotariado</t>
  </si>
  <si>
    <t>Lamparas</t>
  </si>
  <si>
    <t>Dollar City</t>
  </si>
  <si>
    <t>Carulla</t>
  </si>
  <si>
    <t>Lavado</t>
  </si>
  <si>
    <t>Preparada Berlin</t>
  </si>
  <si>
    <t>Cepillos de dientes bio</t>
  </si>
  <si>
    <t>Lavada</t>
  </si>
  <si>
    <t>Esponjados</t>
  </si>
  <si>
    <t>Finca Luisa</t>
  </si>
  <si>
    <t>Abogado</t>
  </si>
  <si>
    <t>Seguros</t>
  </si>
  <si>
    <t>La Garantia</t>
  </si>
  <si>
    <t>almuerzo club</t>
  </si>
  <si>
    <t>Fazenda</t>
  </si>
  <si>
    <t>Amazon</t>
  </si>
  <si>
    <t>Rappi</t>
  </si>
  <si>
    <t>Bad &amp; Body</t>
  </si>
  <si>
    <t>Tostao</t>
  </si>
  <si>
    <t>Tecnicarnes</t>
  </si>
  <si>
    <t>In Site</t>
  </si>
  <si>
    <t>Yaya</t>
  </si>
  <si>
    <t>otros</t>
  </si>
  <si>
    <t>Rakau - Matera</t>
  </si>
  <si>
    <t>Regalo Sergio</t>
  </si>
  <si>
    <t>Farmatodo</t>
  </si>
  <si>
    <t>San Agustin</t>
  </si>
  <si>
    <t>Hotel San Agustin</t>
  </si>
  <si>
    <t>Matera</t>
  </si>
  <si>
    <t>Almuerzo Bomba palmas</t>
  </si>
  <si>
    <t>Jupisan</t>
  </si>
  <si>
    <t>Prima Empleada</t>
  </si>
  <si>
    <t>Dollar</t>
  </si>
  <si>
    <t>EUro</t>
  </si>
  <si>
    <t>Jurakub</t>
  </si>
  <si>
    <t>Parque del café</t>
  </si>
  <si>
    <t>Panaca</t>
  </si>
  <si>
    <t>Veterinario</t>
  </si>
  <si>
    <t>Eje Cafetero</t>
  </si>
  <si>
    <t>Decameron</t>
  </si>
  <si>
    <t>Mamasita</t>
  </si>
  <si>
    <t>Proveeduria</t>
  </si>
  <si>
    <t>Comida</t>
  </si>
  <si>
    <t>Juguetes</t>
  </si>
  <si>
    <t>Poliza Berlin</t>
  </si>
  <si>
    <t>Santoro - Comida</t>
  </si>
  <si>
    <t>Rincon Mexicano</t>
  </si>
  <si>
    <t xml:space="preserve">Lavado </t>
  </si>
  <si>
    <t>Exito Express</t>
  </si>
  <si>
    <t>Profilaxis</t>
  </si>
  <si>
    <t>Exito WOW Envigado</t>
  </si>
  <si>
    <t>Grooming</t>
  </si>
  <si>
    <t>Navidad</t>
  </si>
  <si>
    <t>Vibes</t>
  </si>
  <si>
    <t>servicios</t>
  </si>
  <si>
    <t>Regalos</t>
  </si>
  <si>
    <t>Jumbo</t>
  </si>
  <si>
    <t>Almuerzo</t>
  </si>
  <si>
    <t>Jabón Cara</t>
  </si>
  <si>
    <t>La puttanesca</t>
  </si>
  <si>
    <t>Falabella</t>
  </si>
  <si>
    <t>Kyoto Motos</t>
  </si>
  <si>
    <t>Fragancias</t>
  </si>
  <si>
    <t>Peluqueria</t>
  </si>
  <si>
    <t>Deli</t>
  </si>
  <si>
    <t>Branza</t>
  </si>
  <si>
    <t>Jhon</t>
  </si>
  <si>
    <t>De Lolita</t>
  </si>
  <si>
    <t xml:space="preserve">Muy Mucho </t>
  </si>
  <si>
    <t>Homecenter</t>
  </si>
  <si>
    <t>Al Torno</t>
  </si>
  <si>
    <t>Proveedor</t>
  </si>
  <si>
    <t>Descripción</t>
  </si>
  <si>
    <t>Recursos</t>
  </si>
  <si>
    <t>Laura Pagado</t>
  </si>
  <si>
    <t>Wedding planner</t>
  </si>
  <si>
    <t>Tiquetes</t>
  </si>
  <si>
    <t>pagado por Laura</t>
  </si>
  <si>
    <t>Lluvia de sobres</t>
  </si>
  <si>
    <t>Prana</t>
  </si>
  <si>
    <t>Anticipo</t>
  </si>
  <si>
    <t>Clara</t>
  </si>
  <si>
    <t>Laura pronosticado</t>
  </si>
  <si>
    <t>Boda</t>
  </si>
  <si>
    <t>Hotel</t>
  </si>
  <si>
    <t>ya Laura pago $572.000 de anticipo</t>
  </si>
  <si>
    <t>Familia Echeverri Avalo</t>
  </si>
  <si>
    <t>Transferencia Cuenta David</t>
  </si>
  <si>
    <t>Granate</t>
  </si>
  <si>
    <t>Laura pendiente</t>
  </si>
  <si>
    <t>Argollas</t>
  </si>
  <si>
    <t>Jhoojan</t>
  </si>
  <si>
    <t xml:space="preserve">Camilo </t>
  </si>
  <si>
    <t>Hotel OR</t>
  </si>
  <si>
    <t>Tia Mona</t>
  </si>
  <si>
    <t>Chef Daniel T</t>
  </si>
  <si>
    <t>Ya se abonaron 2.665.000</t>
  </si>
  <si>
    <t>David Pagado</t>
  </si>
  <si>
    <t>Llevar</t>
  </si>
  <si>
    <t>Paula y Deivid</t>
  </si>
  <si>
    <t>Decoración Valen</t>
  </si>
  <si>
    <t>David pronosticado</t>
  </si>
  <si>
    <t>Total a pagar</t>
  </si>
  <si>
    <t>Transporte</t>
  </si>
  <si>
    <t>Maria Cristina</t>
  </si>
  <si>
    <t>Pago Completo</t>
  </si>
  <si>
    <t>Laura</t>
  </si>
  <si>
    <t>David pendiente</t>
  </si>
  <si>
    <t>Valeria y Carlos Mario</t>
  </si>
  <si>
    <t>Abono 2</t>
  </si>
  <si>
    <t>Locación</t>
  </si>
  <si>
    <t>Jose Montoya</t>
  </si>
  <si>
    <t>Jorge Pagado</t>
  </si>
  <si>
    <t>Pagado con lluvia de sobres</t>
  </si>
  <si>
    <t>Catering, Bebidas sin licor, Alimentación Staff, Servicio</t>
  </si>
  <si>
    <t>Catalina Menjura</t>
  </si>
  <si>
    <t>Abono 3</t>
  </si>
  <si>
    <t>Se entregan 3.051.000 en San Andrés. El 26 de Junio</t>
  </si>
  <si>
    <t>Decoración</t>
  </si>
  <si>
    <t>Efectivo</t>
  </si>
  <si>
    <t>Prueba de menu</t>
  </si>
  <si>
    <t>Fotografía y video</t>
  </si>
  <si>
    <t xml:space="preserve">Tías </t>
  </si>
  <si>
    <t>Clases Laura</t>
  </si>
  <si>
    <t>Entretenimiento</t>
  </si>
  <si>
    <t>Traje Emi</t>
  </si>
  <si>
    <t>Ceremonia</t>
  </si>
  <si>
    <t>Pedal</t>
  </si>
  <si>
    <t>Menaje</t>
  </si>
  <si>
    <t>Licor</t>
  </si>
  <si>
    <t xml:space="preserve">Pago Completo </t>
  </si>
  <si>
    <t>Bombas de humo</t>
  </si>
  <si>
    <t>Bombas de humo para la salida de la ceremonia</t>
  </si>
  <si>
    <t>3 garrafas de ron y 15 de Aguardiente</t>
  </si>
  <si>
    <t>Jorge</t>
  </si>
  <si>
    <t>Ivan</t>
  </si>
  <si>
    <t>Fiesta</t>
  </si>
  <si>
    <t>Vasos y copas desechables</t>
  </si>
  <si>
    <t>Panamericana</t>
  </si>
  <si>
    <t>sketchbook</t>
  </si>
  <si>
    <t>Saldo a favor Daniel Toro</t>
  </si>
  <si>
    <t>Daniel T</t>
  </si>
  <si>
    <t>Se entregan $3.950.000 en efectivo</t>
  </si>
  <si>
    <t>Extras</t>
  </si>
  <si>
    <t>Se realiza transferencia para completar los extras</t>
  </si>
  <si>
    <t>Arras</t>
  </si>
  <si>
    <t>Mateo</t>
  </si>
  <si>
    <t xml:space="preserve">Musica </t>
  </si>
  <si>
    <t xml:space="preserve">Transporte, reposiciones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</si>
</sst>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#,##0"/>
    <numFmt numFmtId="166" formatCode="dd/mm/yyyy"/>
    <numFmt numFmtId="167" formatCode="d/m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FF0000"/>
      <name val="Calibri"/>
    </font>
    <font>
      <color rgb="FFFF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center"/>
    </xf>
    <xf borderId="0" fillId="0" fontId="2" numFmtId="165" xfId="0" applyAlignment="1" applyFont="1" applyNumberFormat="1">
      <alignment vertical="bottom"/>
    </xf>
    <xf borderId="0" fillId="0" fontId="4" numFmtId="165" xfId="0" applyFont="1" applyNumberFormat="1"/>
    <xf borderId="0" fillId="0" fontId="2" numFmtId="165" xfId="0" applyAlignment="1" applyFont="1" applyNumberFormat="1">
      <alignment readingOrder="0" vertical="bottom"/>
    </xf>
    <xf borderId="0" fillId="2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5" numFmtId="165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readingOrder="0"/>
    </xf>
    <xf borderId="0" fillId="0" fontId="7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1" numFmtId="165" xfId="0" applyAlignment="1" applyFont="1" applyNumberFormat="1">
      <alignment horizontal="right" readingOrder="0" vertical="bottom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vid Bustamante" id="{09e887a0-29b3-4b8a-9667-cdea18bddc2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1" dT="2023-06-15T19:00:35.00" personId="{09e887a0-29b3-4b8a-9667-cdea18bddc22}" id="{7c3b02cd-6adc-47b6-b585-a9fb6d193bcf}" done="0">
    <x18tc:text xml:space="preserve">Impuesto vehicular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8" max="8" width="12.63"/>
    <col customWidth="1" min="9" max="11" width="13.75"/>
    <col customWidth="1" min="16" max="16" width="14.63"/>
    <col customWidth="1" hidden="1" min="17" max="17" width="14.63"/>
    <col hidden="1" min="18" max="18" width="12.63"/>
    <col customWidth="1" min="21" max="21" width="16.13"/>
    <col customWidth="1" min="27" max="27" width="18.63"/>
    <col customWidth="1" min="28" max="2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3" t="s">
        <v>6</v>
      </c>
      <c r="I1" s="5" t="s">
        <v>7</v>
      </c>
      <c r="N1" s="6" t="s">
        <v>8</v>
      </c>
      <c r="S1" s="4"/>
      <c r="T1" s="4" t="s">
        <v>9</v>
      </c>
      <c r="U1" s="7" t="s">
        <v>10</v>
      </c>
      <c r="V1" s="8" t="s">
        <v>11</v>
      </c>
      <c r="W1" s="8" t="s">
        <v>12</v>
      </c>
      <c r="X1" s="4" t="s">
        <v>13</v>
      </c>
      <c r="AA1" s="9" t="s">
        <v>14</v>
      </c>
    </row>
    <row r="2">
      <c r="A2" s="10">
        <v>44156.0</v>
      </c>
      <c r="B2" s="11" t="s">
        <v>15</v>
      </c>
      <c r="C2" s="11" t="s">
        <v>16</v>
      </c>
      <c r="D2" s="12">
        <v>61000.0</v>
      </c>
      <c r="E2" s="11"/>
      <c r="I2" s="3" t="s">
        <v>17</v>
      </c>
      <c r="J2" s="3" t="s">
        <v>18</v>
      </c>
      <c r="K2" s="13" t="s">
        <v>19</v>
      </c>
      <c r="L2" s="14" t="s">
        <v>20</v>
      </c>
      <c r="M2" s="15" t="s">
        <v>21</v>
      </c>
      <c r="N2" s="16" t="s">
        <v>22</v>
      </c>
      <c r="O2" s="16" t="s">
        <v>23</v>
      </c>
      <c r="P2" s="16" t="s">
        <v>24</v>
      </c>
      <c r="Q2" s="1" t="s">
        <v>25</v>
      </c>
      <c r="R2" s="3" t="s">
        <v>26</v>
      </c>
      <c r="S2" s="3" t="s">
        <v>27</v>
      </c>
      <c r="AA2" s="17" t="s">
        <v>28</v>
      </c>
      <c r="AB2" s="17" t="s">
        <v>2</v>
      </c>
      <c r="AC2" s="17" t="s">
        <v>3</v>
      </c>
      <c r="AD2" s="17" t="s">
        <v>29</v>
      </c>
      <c r="AF2" s="18">
        <f>4000000+7000000-4000000-2500000</f>
        <v>4500000</v>
      </c>
    </row>
    <row r="3">
      <c r="A3" s="19">
        <v>44162.0</v>
      </c>
      <c r="B3" s="11" t="s">
        <v>30</v>
      </c>
      <c r="C3" s="11" t="s">
        <v>31</v>
      </c>
      <c r="D3" s="12">
        <v>439448.0</v>
      </c>
      <c r="E3" s="11"/>
      <c r="F3" s="20">
        <v>2020.0</v>
      </c>
      <c r="G3" s="11" t="s">
        <v>32</v>
      </c>
      <c r="H3" s="21">
        <v>0.0</v>
      </c>
      <c r="I3" s="21">
        <v>0.0</v>
      </c>
      <c r="J3" s="21">
        <v>0.0</v>
      </c>
      <c r="K3" s="21">
        <v>0.0</v>
      </c>
      <c r="L3" s="21">
        <v>0.0</v>
      </c>
      <c r="M3" s="12">
        <f>SUM(D2:D17)</f>
        <v>1653793</v>
      </c>
      <c r="N3" s="12">
        <v>1700000.0</v>
      </c>
      <c r="O3" s="21">
        <v>0.0</v>
      </c>
      <c r="P3" s="21">
        <v>0.0</v>
      </c>
      <c r="Q3" s="21">
        <v>0.0</v>
      </c>
      <c r="R3" s="21">
        <v>0.0</v>
      </c>
      <c r="S3" s="12">
        <f t="shared" ref="S3:S11" si="1">sum(N3:Q3)</f>
        <v>1700000</v>
      </c>
      <c r="T3" s="12">
        <f t="shared" ref="T3:T9" si="2">M3-N3-Q3</f>
        <v>-46207</v>
      </c>
      <c r="U3" s="12">
        <f t="shared" ref="U3:U11" si="3">T3/2</f>
        <v>-23103.5</v>
      </c>
      <c r="V3" s="12">
        <v>0.0</v>
      </c>
      <c r="W3" s="22">
        <f t="shared" ref="W3:W99" si="4">U3-V3</f>
        <v>-23103.5</v>
      </c>
      <c r="X3" s="9" t="s">
        <v>33</v>
      </c>
      <c r="AA3" s="17" t="s">
        <v>34</v>
      </c>
      <c r="AC3" s="21">
        <f>4770000+250000+403000+8000000</f>
        <v>13423000</v>
      </c>
      <c r="AD3" s="17" t="s">
        <v>35</v>
      </c>
    </row>
    <row r="4">
      <c r="A4" s="19">
        <v>44162.0</v>
      </c>
      <c r="B4" s="11" t="s">
        <v>30</v>
      </c>
      <c r="C4" s="11" t="s">
        <v>36</v>
      </c>
      <c r="D4" s="12">
        <v>146330.0</v>
      </c>
      <c r="E4" s="11"/>
      <c r="F4" s="20">
        <v>2021.0</v>
      </c>
      <c r="G4" s="11" t="s">
        <v>37</v>
      </c>
      <c r="H4" s="21">
        <v>0.0</v>
      </c>
      <c r="I4" s="21">
        <v>0.0</v>
      </c>
      <c r="J4" s="21">
        <v>0.0</v>
      </c>
      <c r="K4" s="21">
        <v>0.0</v>
      </c>
      <c r="L4" s="21">
        <v>0.0</v>
      </c>
      <c r="M4" s="12">
        <f>SUM(D19:D34)</f>
        <v>1434770</v>
      </c>
      <c r="N4" s="12">
        <v>1700000.0</v>
      </c>
      <c r="O4" s="21">
        <v>0.0</v>
      </c>
      <c r="P4" s="21">
        <v>0.0</v>
      </c>
      <c r="Q4" s="21">
        <v>0.0</v>
      </c>
      <c r="R4" s="21">
        <v>0.0</v>
      </c>
      <c r="S4" s="12">
        <f t="shared" si="1"/>
        <v>1700000</v>
      </c>
      <c r="T4" s="12">
        <f t="shared" si="2"/>
        <v>-265230</v>
      </c>
      <c r="U4" s="12">
        <f t="shared" si="3"/>
        <v>-132615</v>
      </c>
      <c r="V4" s="12">
        <v>0.0</v>
      </c>
      <c r="W4" s="22">
        <f t="shared" si="4"/>
        <v>-132615</v>
      </c>
      <c r="X4" s="9" t="s">
        <v>33</v>
      </c>
      <c r="AA4" s="17" t="s">
        <v>38</v>
      </c>
      <c r="AC4" s="21">
        <v>6845116.0</v>
      </c>
      <c r="AD4" s="17" t="s">
        <v>35</v>
      </c>
    </row>
    <row r="5">
      <c r="A5" s="19">
        <v>44164.0</v>
      </c>
      <c r="B5" s="11" t="s">
        <v>15</v>
      </c>
      <c r="C5" s="11" t="s">
        <v>16</v>
      </c>
      <c r="D5" s="12">
        <v>67000.0</v>
      </c>
      <c r="E5" s="11"/>
      <c r="F5" s="20">
        <v>2021.0</v>
      </c>
      <c r="G5" s="11" t="s">
        <v>39</v>
      </c>
      <c r="H5" s="21">
        <v>0.0</v>
      </c>
      <c r="I5" s="21">
        <v>0.0</v>
      </c>
      <c r="J5" s="21">
        <v>0.0</v>
      </c>
      <c r="K5" s="21">
        <v>0.0</v>
      </c>
      <c r="L5" s="21">
        <v>0.0</v>
      </c>
      <c r="M5" s="12">
        <f>SUM(D35:D54)</f>
        <v>1863193</v>
      </c>
      <c r="N5" s="12">
        <v>1700000.0</v>
      </c>
      <c r="O5" s="21">
        <v>0.0</v>
      </c>
      <c r="P5" s="21">
        <v>0.0</v>
      </c>
      <c r="Q5" s="21">
        <v>0.0</v>
      </c>
      <c r="R5" s="21">
        <v>0.0</v>
      </c>
      <c r="S5" s="12">
        <f t="shared" si="1"/>
        <v>1700000</v>
      </c>
      <c r="T5" s="12">
        <f t="shared" si="2"/>
        <v>163193</v>
      </c>
      <c r="U5" s="12">
        <f t="shared" si="3"/>
        <v>81596.5</v>
      </c>
      <c r="V5" s="12">
        <v>0.0</v>
      </c>
      <c r="W5" s="22">
        <f t="shared" si="4"/>
        <v>81596.5</v>
      </c>
      <c r="X5" s="9" t="s">
        <v>33</v>
      </c>
      <c r="AA5" s="17" t="s">
        <v>40</v>
      </c>
      <c r="AC5" s="21">
        <v>1.8914643E7</v>
      </c>
      <c r="AD5" s="17" t="s">
        <v>35</v>
      </c>
    </row>
    <row r="6">
      <c r="A6" s="19">
        <v>44164.0</v>
      </c>
      <c r="B6" s="11" t="s">
        <v>30</v>
      </c>
      <c r="C6" s="11" t="s">
        <v>41</v>
      </c>
      <c r="D6" s="12">
        <v>55000.0</v>
      </c>
      <c r="E6" s="11"/>
      <c r="F6" s="20">
        <v>2021.0</v>
      </c>
      <c r="G6" s="20" t="s">
        <v>42</v>
      </c>
      <c r="H6" s="21">
        <v>0.0</v>
      </c>
      <c r="I6" s="21">
        <v>0.0</v>
      </c>
      <c r="J6" s="21">
        <v>0.0</v>
      </c>
      <c r="K6" s="21">
        <v>0.0</v>
      </c>
      <c r="L6" s="21">
        <v>0.0</v>
      </c>
      <c r="M6" s="23">
        <f>SUM(D55:D74)</f>
        <v>1799578.7</v>
      </c>
      <c r="N6" s="12">
        <v>1700000.0</v>
      </c>
      <c r="O6" s="21">
        <v>0.0</v>
      </c>
      <c r="P6" s="21">
        <v>0.0</v>
      </c>
      <c r="Q6" s="21">
        <v>125000.0</v>
      </c>
      <c r="R6" s="21">
        <v>0.0</v>
      </c>
      <c r="S6" s="12">
        <f t="shared" si="1"/>
        <v>1825000</v>
      </c>
      <c r="T6" s="12">
        <f t="shared" si="2"/>
        <v>-25421.3</v>
      </c>
      <c r="U6" s="12">
        <f t="shared" si="3"/>
        <v>-12710.65</v>
      </c>
      <c r="V6" s="12">
        <v>0.0</v>
      </c>
      <c r="W6" s="22">
        <f t="shared" si="4"/>
        <v>-12710.65</v>
      </c>
      <c r="X6" s="9" t="s">
        <v>33</v>
      </c>
      <c r="AA6" s="17" t="s">
        <v>21</v>
      </c>
      <c r="AC6" s="24">
        <f>SUM(AC3:AC5)</f>
        <v>39182759</v>
      </c>
      <c r="AD6" s="24">
        <f>AC6/2000000</f>
        <v>19.5913795</v>
      </c>
    </row>
    <row r="7">
      <c r="A7" s="19">
        <v>44168.0</v>
      </c>
      <c r="B7" s="11" t="s">
        <v>15</v>
      </c>
      <c r="C7" s="11" t="s">
        <v>26</v>
      </c>
      <c r="D7" s="12">
        <v>200000.0</v>
      </c>
      <c r="E7" s="11"/>
      <c r="F7" s="20">
        <v>2021.0</v>
      </c>
      <c r="G7" s="20" t="s">
        <v>43</v>
      </c>
      <c r="H7" s="21">
        <v>0.0</v>
      </c>
      <c r="I7" s="21">
        <v>0.0</v>
      </c>
      <c r="J7" s="21">
        <v>0.0</v>
      </c>
      <c r="K7" s="21">
        <v>0.0</v>
      </c>
      <c r="L7" s="21">
        <v>0.0</v>
      </c>
      <c r="M7" s="23">
        <f>SUM(D75:D89)</f>
        <v>1505279.9</v>
      </c>
      <c r="N7" s="12">
        <v>1700000.0</v>
      </c>
      <c r="O7" s="21">
        <v>0.0</v>
      </c>
      <c r="P7" s="21">
        <v>0.0</v>
      </c>
      <c r="Q7" s="21">
        <v>125000.0</v>
      </c>
      <c r="R7" s="21">
        <v>0.0</v>
      </c>
      <c r="S7" s="12">
        <f t="shared" si="1"/>
        <v>1825000</v>
      </c>
      <c r="T7" s="12">
        <f t="shared" si="2"/>
        <v>-319720.1</v>
      </c>
      <c r="U7" s="12">
        <f t="shared" si="3"/>
        <v>-159860.05</v>
      </c>
      <c r="V7" s="12">
        <v>0.0</v>
      </c>
      <c r="W7" s="22">
        <f t="shared" si="4"/>
        <v>-159860.05</v>
      </c>
      <c r="X7" s="9" t="s">
        <v>33</v>
      </c>
    </row>
    <row r="8">
      <c r="A8" s="19">
        <v>44170.0</v>
      </c>
      <c r="B8" s="11" t="s">
        <v>15</v>
      </c>
      <c r="C8" s="11" t="s">
        <v>16</v>
      </c>
      <c r="D8" s="12">
        <v>53950.0</v>
      </c>
      <c r="E8" s="11"/>
      <c r="F8" s="20">
        <v>2021.0</v>
      </c>
      <c r="G8" s="11" t="s">
        <v>44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3">
        <f>SUM(D90:D112)</f>
        <v>2367437</v>
      </c>
      <c r="N8" s="12">
        <v>1700000.0</v>
      </c>
      <c r="O8" s="21">
        <v>0.0</v>
      </c>
      <c r="P8" s="21">
        <v>0.0</v>
      </c>
      <c r="Q8" s="21">
        <v>125000.0</v>
      </c>
      <c r="R8" s="21">
        <v>0.0</v>
      </c>
      <c r="S8" s="12">
        <f t="shared" si="1"/>
        <v>1825000</v>
      </c>
      <c r="T8" s="12">
        <f t="shared" si="2"/>
        <v>542437</v>
      </c>
      <c r="U8" s="12">
        <f t="shared" si="3"/>
        <v>271218.5</v>
      </c>
      <c r="V8" s="12">
        <v>0.0</v>
      </c>
      <c r="W8" s="22">
        <f t="shared" si="4"/>
        <v>271218.5</v>
      </c>
      <c r="X8" s="9" t="s">
        <v>33</v>
      </c>
      <c r="Y8" s="17" t="s">
        <v>45</v>
      </c>
      <c r="AC8" s="21"/>
    </row>
    <row r="9">
      <c r="A9" s="19">
        <v>44171.0</v>
      </c>
      <c r="B9" s="11" t="s">
        <v>30</v>
      </c>
      <c r="C9" s="11" t="s">
        <v>46</v>
      </c>
      <c r="D9" s="12">
        <v>64050.0</v>
      </c>
      <c r="E9" s="11"/>
      <c r="F9" s="20">
        <v>2021.0</v>
      </c>
      <c r="G9" s="20" t="s">
        <v>47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3">
        <f>SUM(D113:D134)</f>
        <v>1658855</v>
      </c>
      <c r="N9" s="12">
        <v>1700000.0</v>
      </c>
      <c r="O9" s="21">
        <v>0.0</v>
      </c>
      <c r="P9" s="21">
        <v>0.0</v>
      </c>
      <c r="Q9" s="21">
        <v>125000.0</v>
      </c>
      <c r="R9" s="21">
        <v>0.0</v>
      </c>
      <c r="S9" s="12">
        <f t="shared" si="1"/>
        <v>1825000</v>
      </c>
      <c r="T9" s="12">
        <f t="shared" si="2"/>
        <v>-166145</v>
      </c>
      <c r="U9" s="12">
        <f t="shared" si="3"/>
        <v>-83072.5</v>
      </c>
      <c r="V9" s="12">
        <v>0.0</v>
      </c>
      <c r="W9" s="22">
        <f t="shared" si="4"/>
        <v>-83072.5</v>
      </c>
      <c r="X9" s="9" t="s">
        <v>33</v>
      </c>
    </row>
    <row r="10">
      <c r="A10" s="19">
        <v>44173.0</v>
      </c>
      <c r="B10" s="11" t="s">
        <v>30</v>
      </c>
      <c r="C10" s="11" t="s">
        <v>36</v>
      </c>
      <c r="D10" s="12">
        <v>14210.0</v>
      </c>
      <c r="E10" s="11"/>
      <c r="F10" s="20">
        <v>2021.0</v>
      </c>
      <c r="G10" s="20" t="s">
        <v>48</v>
      </c>
      <c r="H10" s="21">
        <v>0.0</v>
      </c>
      <c r="I10" s="21">
        <v>0.0</v>
      </c>
      <c r="J10" s="21">
        <v>0.0</v>
      </c>
      <c r="K10" s="21">
        <v>0.0</v>
      </c>
      <c r="L10" s="21">
        <v>0.0</v>
      </c>
      <c r="M10" s="23">
        <f>sum(D135:D154)</f>
        <v>2316212</v>
      </c>
      <c r="N10" s="12">
        <v>1700000.0</v>
      </c>
      <c r="O10" s="21">
        <v>0.0</v>
      </c>
      <c r="P10" s="21">
        <v>0.0</v>
      </c>
      <c r="Q10" s="21">
        <v>125000.0</v>
      </c>
      <c r="R10" s="21">
        <v>0.0</v>
      </c>
      <c r="S10" s="12">
        <f t="shared" si="1"/>
        <v>1825000</v>
      </c>
      <c r="T10" s="12">
        <f t="shared" ref="T10:T99" si="5">M10-S10</f>
        <v>491212</v>
      </c>
      <c r="U10" s="12">
        <f t="shared" si="3"/>
        <v>245606</v>
      </c>
      <c r="V10" s="12">
        <v>0.0</v>
      </c>
      <c r="W10" s="22">
        <f t="shared" si="4"/>
        <v>245606</v>
      </c>
      <c r="X10" s="9" t="s">
        <v>33</v>
      </c>
    </row>
    <row r="11">
      <c r="A11" s="19">
        <v>44177.0</v>
      </c>
      <c r="B11" s="11" t="s">
        <v>15</v>
      </c>
      <c r="C11" s="11" t="s">
        <v>16</v>
      </c>
      <c r="D11" s="12">
        <v>66599.0</v>
      </c>
      <c r="E11" s="11"/>
      <c r="F11" s="20">
        <v>2021.0</v>
      </c>
      <c r="G11" s="11" t="s">
        <v>49</v>
      </c>
      <c r="H11" s="23">
        <f t="shared" ref="H11:H22" si="6">682400/12</f>
        <v>56866.66667</v>
      </c>
      <c r="I11" s="21">
        <v>0.0</v>
      </c>
      <c r="J11" s="21">
        <v>0.0</v>
      </c>
      <c r="K11" s="21">
        <v>0.0</v>
      </c>
      <c r="L11" s="21">
        <v>0.0</v>
      </c>
      <c r="M11" s="23">
        <f>sum(D155:D176)+H11</f>
        <v>2484696.667</v>
      </c>
      <c r="N11" s="21">
        <v>1500000.0</v>
      </c>
      <c r="O11" s="21">
        <v>0.0</v>
      </c>
      <c r="P11" s="21">
        <v>458675.0</v>
      </c>
      <c r="Q11" s="21">
        <f>125000+342000</f>
        <v>467000</v>
      </c>
      <c r="R11" s="21">
        <v>0.0</v>
      </c>
      <c r="S11" s="12">
        <f t="shared" si="1"/>
        <v>2425675</v>
      </c>
      <c r="T11" s="12">
        <f t="shared" si="5"/>
        <v>59021.66667</v>
      </c>
      <c r="U11" s="12">
        <f t="shared" si="3"/>
        <v>29510.83333</v>
      </c>
      <c r="V11" s="12">
        <v>0.0</v>
      </c>
      <c r="W11" s="22">
        <f t="shared" si="4"/>
        <v>29510.83333</v>
      </c>
      <c r="X11" s="9" t="s">
        <v>33</v>
      </c>
    </row>
    <row r="12">
      <c r="A12" s="19">
        <v>44177.0</v>
      </c>
      <c r="B12" s="11" t="s">
        <v>30</v>
      </c>
      <c r="C12" s="11" t="s">
        <v>50</v>
      </c>
      <c r="D12" s="12">
        <v>54300.0</v>
      </c>
      <c r="E12" s="11"/>
      <c r="F12" s="20">
        <v>2021.0</v>
      </c>
      <c r="G12" s="20" t="s">
        <v>51</v>
      </c>
      <c r="H12" s="23">
        <f t="shared" si="6"/>
        <v>56866.66667</v>
      </c>
      <c r="I12" s="21">
        <v>0.0</v>
      </c>
      <c r="J12" s="21">
        <v>0.0</v>
      </c>
      <c r="K12" s="21">
        <v>0.0</v>
      </c>
      <c r="L12" s="21">
        <v>0.0</v>
      </c>
      <c r="M12" s="23">
        <f>sum(D177:D191)+H12</f>
        <v>1837600.667</v>
      </c>
      <c r="N12" s="21">
        <v>0.0</v>
      </c>
      <c r="O12" s="12">
        <f t="shared" ref="O12:O99" si="7">1000000/6</f>
        <v>166666.6667</v>
      </c>
      <c r="P12" s="21">
        <v>458675.0</v>
      </c>
      <c r="Q12" s="21">
        <v>125000.0</v>
      </c>
      <c r="R12" s="21">
        <v>0.0</v>
      </c>
      <c r="S12" s="12">
        <f>sum(N12:Q12)+40000</f>
        <v>790341.6667</v>
      </c>
      <c r="T12" s="12">
        <f t="shared" si="5"/>
        <v>1047259</v>
      </c>
      <c r="U12" s="12">
        <f>(T12/2)-25489</f>
        <v>498140.5</v>
      </c>
      <c r="V12" s="12">
        <v>0.0</v>
      </c>
      <c r="W12" s="22">
        <f t="shared" si="4"/>
        <v>498140.5</v>
      </c>
      <c r="X12" s="9" t="s">
        <v>33</v>
      </c>
    </row>
    <row r="13">
      <c r="A13" s="19">
        <v>44178.0</v>
      </c>
      <c r="B13" s="11" t="s">
        <v>30</v>
      </c>
      <c r="C13" s="11" t="s">
        <v>52</v>
      </c>
      <c r="D13" s="12">
        <v>156100.0</v>
      </c>
      <c r="E13" s="11"/>
      <c r="F13" s="20">
        <v>2021.0</v>
      </c>
      <c r="G13" s="20" t="s">
        <v>53</v>
      </c>
      <c r="H13" s="23">
        <f t="shared" si="6"/>
        <v>56866.66667</v>
      </c>
      <c r="I13" s="21">
        <v>0.0</v>
      </c>
      <c r="J13" s="21">
        <v>0.0</v>
      </c>
      <c r="K13" s="21">
        <v>0.0</v>
      </c>
      <c r="L13" s="21">
        <v>0.0</v>
      </c>
      <c r="M13" s="23">
        <f>sum(D192:D207)+H13</f>
        <v>1742087.667</v>
      </c>
      <c r="N13" s="21">
        <v>1125000.0</v>
      </c>
      <c r="O13" s="12">
        <f t="shared" si="7"/>
        <v>166666.6667</v>
      </c>
      <c r="P13" s="21">
        <v>319000.0</v>
      </c>
      <c r="Q13" s="21">
        <v>125000.0</v>
      </c>
      <c r="R13" s="21">
        <v>0.0</v>
      </c>
      <c r="S13" s="12">
        <f>sum(N13:Q13)</f>
        <v>1735666.667</v>
      </c>
      <c r="T13" s="12">
        <f t="shared" si="5"/>
        <v>6421</v>
      </c>
      <c r="U13" s="12">
        <f t="shared" ref="U13:U99" si="8">T13/2</f>
        <v>3210.5</v>
      </c>
      <c r="V13" s="12">
        <v>0.0</v>
      </c>
      <c r="W13" s="22">
        <f t="shared" si="4"/>
        <v>3210.5</v>
      </c>
      <c r="X13" s="9" t="s">
        <v>33</v>
      </c>
    </row>
    <row r="14">
      <c r="A14" s="19">
        <v>44179.0</v>
      </c>
      <c r="B14" s="11" t="s">
        <v>30</v>
      </c>
      <c r="C14" s="11" t="s">
        <v>54</v>
      </c>
      <c r="D14" s="12">
        <v>24900.0</v>
      </c>
      <c r="E14" s="11"/>
      <c r="F14" s="20">
        <v>2021.0</v>
      </c>
      <c r="G14" s="11" t="s">
        <v>55</v>
      </c>
      <c r="H14" s="23">
        <f t="shared" si="6"/>
        <v>56866.66667</v>
      </c>
      <c r="I14" s="21">
        <v>0.0</v>
      </c>
      <c r="J14" s="21">
        <v>0.0</v>
      </c>
      <c r="K14" s="21">
        <v>0.0</v>
      </c>
      <c r="L14" s="21">
        <v>0.0</v>
      </c>
      <c r="M14" s="23">
        <f>sum(D208:D220)+H14</f>
        <v>1687927.667</v>
      </c>
      <c r="N14" s="21">
        <v>1125000.0</v>
      </c>
      <c r="O14" s="12">
        <f t="shared" si="7"/>
        <v>166666.6667</v>
      </c>
      <c r="P14" s="21">
        <f t="shared" ref="P14:P15" si="9">319000</f>
        <v>319000</v>
      </c>
      <c r="Q14" s="21">
        <v>125000.0</v>
      </c>
      <c r="R14" s="21">
        <v>100000.0</v>
      </c>
      <c r="S14" s="12">
        <f t="shared" ref="S14:S25" si="10">sum(N14:R14)</f>
        <v>1835666.667</v>
      </c>
      <c r="T14" s="12">
        <f t="shared" si="5"/>
        <v>-147739</v>
      </c>
      <c r="U14" s="12">
        <f t="shared" si="8"/>
        <v>-73869.5</v>
      </c>
      <c r="V14" s="12">
        <v>0.0</v>
      </c>
      <c r="W14" s="22">
        <f t="shared" si="4"/>
        <v>-73869.5</v>
      </c>
      <c r="X14" s="9" t="s">
        <v>33</v>
      </c>
    </row>
    <row r="15">
      <c r="A15" s="19">
        <v>44188.0</v>
      </c>
      <c r="B15" s="11" t="s">
        <v>15</v>
      </c>
      <c r="C15" s="11" t="s">
        <v>16</v>
      </c>
      <c r="D15" s="12">
        <v>72913.0</v>
      </c>
      <c r="E15" s="11"/>
      <c r="F15" s="20">
        <v>2021.0</v>
      </c>
      <c r="G15" s="20" t="s">
        <v>56</v>
      </c>
      <c r="H15" s="23">
        <f t="shared" si="6"/>
        <v>56866.66667</v>
      </c>
      <c r="I15" s="21">
        <v>0.0</v>
      </c>
      <c r="J15" s="21">
        <v>0.0</v>
      </c>
      <c r="K15" s="21">
        <v>0.0</v>
      </c>
      <c r="L15" s="21">
        <v>0.0</v>
      </c>
      <c r="M15" s="23">
        <f>SUM(D221:D234)+H15</f>
        <v>2576199.667</v>
      </c>
      <c r="N15" s="21">
        <v>1125000.0</v>
      </c>
      <c r="O15" s="12">
        <f t="shared" si="7"/>
        <v>166666.6667</v>
      </c>
      <c r="P15" s="21">
        <f t="shared" si="9"/>
        <v>319000</v>
      </c>
      <c r="Q15" s="21">
        <v>125000.0</v>
      </c>
      <c r="R15" s="12">
        <f>20000+50000</f>
        <v>70000</v>
      </c>
      <c r="S15" s="12">
        <f t="shared" si="10"/>
        <v>1805666.667</v>
      </c>
      <c r="T15" s="12">
        <f t="shared" si="5"/>
        <v>770533</v>
      </c>
      <c r="U15" s="12">
        <f t="shared" si="8"/>
        <v>385266.5</v>
      </c>
      <c r="V15" s="12">
        <v>0.0</v>
      </c>
      <c r="W15" s="22">
        <f t="shared" si="4"/>
        <v>385266.5</v>
      </c>
      <c r="X15" s="9" t="s">
        <v>33</v>
      </c>
    </row>
    <row r="16">
      <c r="A16" s="19">
        <v>44192.0</v>
      </c>
      <c r="B16" s="11" t="s">
        <v>30</v>
      </c>
      <c r="C16" s="11" t="s">
        <v>54</v>
      </c>
      <c r="D16" s="12">
        <f>164800-50000</f>
        <v>114800</v>
      </c>
      <c r="E16" s="11"/>
      <c r="F16" s="20">
        <v>2022.0</v>
      </c>
      <c r="G16" s="20" t="s">
        <v>57</v>
      </c>
      <c r="H16" s="23">
        <f t="shared" si="6"/>
        <v>56866.66667</v>
      </c>
      <c r="I16" s="23">
        <f t="shared" ref="I16:I51" si="11">(440.92*3900)/36</f>
        <v>47766.33333</v>
      </c>
      <c r="J16" s="21">
        <v>0.0</v>
      </c>
      <c r="K16" s="21">
        <v>0.0</v>
      </c>
      <c r="L16" s="21">
        <v>0.0</v>
      </c>
      <c r="M16" s="23">
        <f>I16+H16+SUM(D235:D254)</f>
        <v>2257818</v>
      </c>
      <c r="N16" s="21">
        <v>1125000.0</v>
      </c>
      <c r="O16" s="12">
        <f t="shared" si="7"/>
        <v>166666.6667</v>
      </c>
      <c r="P16" s="21">
        <v>344000.0</v>
      </c>
      <c r="Q16" s="21">
        <v>125000.0</v>
      </c>
      <c r="R16" s="12">
        <f>75000+25000</f>
        <v>100000</v>
      </c>
      <c r="S16" s="12">
        <f t="shared" si="10"/>
        <v>1860666.667</v>
      </c>
      <c r="T16" s="12">
        <f t="shared" si="5"/>
        <v>397151.3333</v>
      </c>
      <c r="U16" s="12">
        <f t="shared" si="8"/>
        <v>198575.6667</v>
      </c>
      <c r="V16" s="12">
        <v>0.0</v>
      </c>
      <c r="W16" s="22">
        <f t="shared" si="4"/>
        <v>198575.6667</v>
      </c>
      <c r="X16" s="9" t="s">
        <v>33</v>
      </c>
    </row>
    <row r="17">
      <c r="A17" s="19">
        <v>44196.0</v>
      </c>
      <c r="B17" s="11" t="s">
        <v>15</v>
      </c>
      <c r="C17" s="11" t="s">
        <v>16</v>
      </c>
      <c r="D17" s="12">
        <v>63193.0</v>
      </c>
      <c r="E17" s="11"/>
      <c r="F17" s="20">
        <v>2022.0</v>
      </c>
      <c r="G17" s="11" t="s">
        <v>58</v>
      </c>
      <c r="H17" s="23">
        <f t="shared" si="6"/>
        <v>56866.66667</v>
      </c>
      <c r="I17" s="23">
        <f t="shared" si="11"/>
        <v>47766.33333</v>
      </c>
      <c r="J17" s="21">
        <v>0.0</v>
      </c>
      <c r="K17" s="21">
        <v>0.0</v>
      </c>
      <c r="L17" s="21">
        <v>0.0</v>
      </c>
      <c r="M17" s="23">
        <f>H17+I17+SUM(D255:D270)</f>
        <v>2206061</v>
      </c>
      <c r="N17" s="21">
        <v>1125000.0</v>
      </c>
      <c r="O17" s="12">
        <f t="shared" si="7"/>
        <v>166666.6667</v>
      </c>
      <c r="P17" s="21">
        <v>344000.0</v>
      </c>
      <c r="Q17" s="21">
        <v>125000.0</v>
      </c>
      <c r="R17" s="12">
        <f t="shared" ref="R17:R20" si="12">450000/4</f>
        <v>112500</v>
      </c>
      <c r="S17" s="12">
        <f t="shared" si="10"/>
        <v>1873166.667</v>
      </c>
      <c r="T17" s="12">
        <f t="shared" si="5"/>
        <v>332894.3333</v>
      </c>
      <c r="U17" s="12">
        <f t="shared" si="8"/>
        <v>166447.1667</v>
      </c>
      <c r="V17" s="12">
        <v>0.0</v>
      </c>
      <c r="W17" s="22">
        <f t="shared" si="4"/>
        <v>166447.1667</v>
      </c>
      <c r="X17" s="9" t="s">
        <v>33</v>
      </c>
    </row>
    <row r="18">
      <c r="A18" s="19">
        <v>44200.0</v>
      </c>
      <c r="B18" s="11" t="s">
        <v>15</v>
      </c>
      <c r="C18" s="11" t="s">
        <v>16</v>
      </c>
      <c r="D18" s="12">
        <v>65475.0</v>
      </c>
      <c r="E18" s="11"/>
      <c r="F18" s="20">
        <v>2022.0</v>
      </c>
      <c r="G18" s="20" t="s">
        <v>59</v>
      </c>
      <c r="H18" s="23">
        <f t="shared" si="6"/>
        <v>56866.66667</v>
      </c>
      <c r="I18" s="23">
        <f t="shared" si="11"/>
        <v>47766.33333</v>
      </c>
      <c r="J18" s="21">
        <v>760000.0</v>
      </c>
      <c r="K18" s="21">
        <v>0.0</v>
      </c>
      <c r="L18" s="21">
        <v>0.0</v>
      </c>
      <c r="M18" s="23">
        <f>H18+I18+J18+SUM(D272:D290)</f>
        <v>2738962</v>
      </c>
      <c r="N18" s="21">
        <v>1125000.0</v>
      </c>
      <c r="O18" s="12">
        <f t="shared" si="7"/>
        <v>166666.6667</v>
      </c>
      <c r="P18" s="21">
        <f t="shared" ref="P18:P27" si="13">350000+190000</f>
        <v>540000</v>
      </c>
      <c r="Q18" s="21">
        <v>0.0</v>
      </c>
      <c r="R18" s="12">
        <f t="shared" si="12"/>
        <v>112500</v>
      </c>
      <c r="S18" s="12">
        <f t="shared" si="10"/>
        <v>1944166.667</v>
      </c>
      <c r="T18" s="12">
        <f t="shared" si="5"/>
        <v>794795.3333</v>
      </c>
      <c r="U18" s="12">
        <f t="shared" si="8"/>
        <v>397397.6667</v>
      </c>
      <c r="V18" s="12">
        <v>0.0</v>
      </c>
      <c r="W18" s="22">
        <f t="shared" si="4"/>
        <v>397397.6667</v>
      </c>
      <c r="X18" s="9" t="s">
        <v>33</v>
      </c>
      <c r="Y18" s="17" t="s">
        <v>60</v>
      </c>
    </row>
    <row r="19">
      <c r="A19" s="19">
        <v>44200.0</v>
      </c>
      <c r="B19" s="11" t="s">
        <v>30</v>
      </c>
      <c r="C19" s="11" t="s">
        <v>61</v>
      </c>
      <c r="D19" s="12">
        <v>139860.0</v>
      </c>
      <c r="E19" s="11"/>
      <c r="F19" s="20">
        <v>2022.0</v>
      </c>
      <c r="G19" s="20" t="s">
        <v>62</v>
      </c>
      <c r="H19" s="23">
        <f t="shared" si="6"/>
        <v>56866.66667</v>
      </c>
      <c r="I19" s="23">
        <f t="shared" si="11"/>
        <v>47766.33333</v>
      </c>
      <c r="J19" s="21">
        <v>760000.0</v>
      </c>
      <c r="K19" s="21">
        <v>0.0</v>
      </c>
      <c r="L19" s="21">
        <v>0.0</v>
      </c>
      <c r="M19" s="23">
        <f>H19+I19+J19+sum(D291:D310)</f>
        <v>2780816</v>
      </c>
      <c r="N19" s="21">
        <v>1125000.0</v>
      </c>
      <c r="O19" s="12">
        <f t="shared" si="7"/>
        <v>166666.6667</v>
      </c>
      <c r="P19" s="21">
        <f t="shared" si="13"/>
        <v>540000</v>
      </c>
      <c r="Q19" s="25">
        <v>0.0</v>
      </c>
      <c r="R19" s="12">
        <f t="shared" si="12"/>
        <v>112500</v>
      </c>
      <c r="S19" s="12">
        <f t="shared" si="10"/>
        <v>1944166.667</v>
      </c>
      <c r="T19" s="12">
        <f t="shared" si="5"/>
        <v>836649.3333</v>
      </c>
      <c r="U19" s="12">
        <f t="shared" si="8"/>
        <v>418324.6667</v>
      </c>
      <c r="V19" s="12">
        <v>0.0</v>
      </c>
      <c r="W19" s="22">
        <f t="shared" si="4"/>
        <v>418324.6667</v>
      </c>
      <c r="X19" s="9" t="s">
        <v>33</v>
      </c>
      <c r="Y19" s="17" t="s">
        <v>63</v>
      </c>
    </row>
    <row r="20">
      <c r="A20" s="19">
        <v>44200.0</v>
      </c>
      <c r="B20" s="11" t="s">
        <v>30</v>
      </c>
      <c r="C20" s="11" t="s">
        <v>50</v>
      </c>
      <c r="D20" s="12">
        <v>50361.0</v>
      </c>
      <c r="E20" s="11"/>
      <c r="F20" s="20">
        <v>2022.0</v>
      </c>
      <c r="G20" s="11" t="s">
        <v>44</v>
      </c>
      <c r="H20" s="23">
        <f t="shared" si="6"/>
        <v>56866.66667</v>
      </c>
      <c r="I20" s="23">
        <f t="shared" si="11"/>
        <v>47766.33333</v>
      </c>
      <c r="J20" s="21">
        <v>760000.0</v>
      </c>
      <c r="K20" s="21">
        <v>0.0</v>
      </c>
      <c r="L20" s="21">
        <v>0.0</v>
      </c>
      <c r="M20" s="23">
        <f>H20+I20+J20+SUM(D311:D327)</f>
        <v>2824946</v>
      </c>
      <c r="N20" s="21">
        <v>1125000.0</v>
      </c>
      <c r="O20" s="12">
        <f t="shared" si="7"/>
        <v>166666.6667</v>
      </c>
      <c r="P20" s="21">
        <f t="shared" si="13"/>
        <v>540000</v>
      </c>
      <c r="Q20" s="25">
        <v>0.0</v>
      </c>
      <c r="R20" s="12">
        <f t="shared" si="12"/>
        <v>112500</v>
      </c>
      <c r="S20" s="12">
        <f t="shared" si="10"/>
        <v>1944166.667</v>
      </c>
      <c r="T20" s="12">
        <f t="shared" si="5"/>
        <v>880779.3333</v>
      </c>
      <c r="U20" s="12">
        <f t="shared" si="8"/>
        <v>440389.6667</v>
      </c>
      <c r="V20" s="12">
        <v>0.0</v>
      </c>
      <c r="W20" s="22">
        <f t="shared" si="4"/>
        <v>440389.6667</v>
      </c>
      <c r="X20" s="9" t="s">
        <v>33</v>
      </c>
    </row>
    <row r="21">
      <c r="A21" s="19">
        <v>44203.0</v>
      </c>
      <c r="B21" s="11" t="s">
        <v>15</v>
      </c>
      <c r="C21" s="11" t="s">
        <v>26</v>
      </c>
      <c r="D21" s="12">
        <v>200000.0</v>
      </c>
      <c r="E21" s="11"/>
      <c r="F21" s="20">
        <v>2022.0</v>
      </c>
      <c r="G21" s="20" t="s">
        <v>47</v>
      </c>
      <c r="H21" s="23">
        <f t="shared" si="6"/>
        <v>56866.66667</v>
      </c>
      <c r="I21" s="23">
        <f t="shared" si="11"/>
        <v>47766.33333</v>
      </c>
      <c r="J21" s="21">
        <v>760000.0</v>
      </c>
      <c r="K21" s="21">
        <v>0.0</v>
      </c>
      <c r="L21" s="21">
        <v>0.0</v>
      </c>
      <c r="M21" s="23">
        <f>H21+I21+J21+sum(D328:D352)</f>
        <v>3861869</v>
      </c>
      <c r="N21" s="21">
        <v>1125000.0</v>
      </c>
      <c r="O21" s="12">
        <f t="shared" si="7"/>
        <v>166666.6667</v>
      </c>
      <c r="P21" s="21">
        <f t="shared" si="13"/>
        <v>540000</v>
      </c>
      <c r="Q21" s="25">
        <v>0.0</v>
      </c>
      <c r="R21" s="25">
        <v>0.0</v>
      </c>
      <c r="S21" s="12">
        <f t="shared" si="10"/>
        <v>1831666.667</v>
      </c>
      <c r="T21" s="12">
        <f t="shared" si="5"/>
        <v>2030202.333</v>
      </c>
      <c r="U21" s="12">
        <f t="shared" si="8"/>
        <v>1015101.167</v>
      </c>
      <c r="V21" s="12">
        <v>0.0</v>
      </c>
      <c r="W21" s="22">
        <f t="shared" si="4"/>
        <v>1015101.167</v>
      </c>
      <c r="X21" s="9" t="s">
        <v>33</v>
      </c>
    </row>
    <row r="22">
      <c r="A22" s="19">
        <v>44203.0</v>
      </c>
      <c r="B22" s="11" t="s">
        <v>15</v>
      </c>
      <c r="C22" s="11" t="s">
        <v>16</v>
      </c>
      <c r="D22" s="12">
        <v>45900.0</v>
      </c>
      <c r="E22" s="11"/>
      <c r="F22" s="20">
        <v>2022.0</v>
      </c>
      <c r="G22" s="20" t="s">
        <v>48</v>
      </c>
      <c r="H22" s="23">
        <f t="shared" si="6"/>
        <v>56866.66667</v>
      </c>
      <c r="I22" s="23">
        <f t="shared" si="11"/>
        <v>47766.33333</v>
      </c>
      <c r="J22" s="21">
        <v>760000.0</v>
      </c>
      <c r="K22" s="21">
        <v>0.0</v>
      </c>
      <c r="L22" s="21">
        <v>0.0</v>
      </c>
      <c r="M22" s="23">
        <f>H22+I22+J22+SUM(D353:D367)</f>
        <v>2177940</v>
      </c>
      <c r="N22" s="21">
        <v>1125000.0</v>
      </c>
      <c r="O22" s="12">
        <f t="shared" si="7"/>
        <v>166666.6667</v>
      </c>
      <c r="P22" s="21">
        <f t="shared" si="13"/>
        <v>540000</v>
      </c>
      <c r="Q22" s="25">
        <v>0.0</v>
      </c>
      <c r="R22" s="25">
        <v>0.0</v>
      </c>
      <c r="S22" s="12">
        <f t="shared" si="10"/>
        <v>1831666.667</v>
      </c>
      <c r="T22" s="12">
        <f t="shared" si="5"/>
        <v>346273.3333</v>
      </c>
      <c r="U22" s="12">
        <f t="shared" si="8"/>
        <v>173136.6667</v>
      </c>
      <c r="V22" s="12">
        <v>0.0</v>
      </c>
      <c r="W22" s="22">
        <f t="shared" si="4"/>
        <v>173136.6667</v>
      </c>
      <c r="X22" s="9" t="s">
        <v>33</v>
      </c>
    </row>
    <row r="23">
      <c r="A23" s="19">
        <v>44203.0</v>
      </c>
      <c r="B23" s="11" t="s">
        <v>30</v>
      </c>
      <c r="C23" s="11" t="s">
        <v>61</v>
      </c>
      <c r="D23" s="12">
        <v>145840.0</v>
      </c>
      <c r="E23" s="11"/>
      <c r="F23" s="20">
        <v>2022.0</v>
      </c>
      <c r="G23" s="11" t="s">
        <v>49</v>
      </c>
      <c r="H23" s="25">
        <v>0.0</v>
      </c>
      <c r="I23" s="23">
        <f t="shared" si="11"/>
        <v>47766.33333</v>
      </c>
      <c r="J23" s="21">
        <v>760000.0</v>
      </c>
      <c r="K23" s="21">
        <v>0.0</v>
      </c>
      <c r="L23" s="21">
        <v>0.0</v>
      </c>
      <c r="M23" s="23">
        <f>H23+I23+J23+SUM(D368:D384)</f>
        <v>2261239.333</v>
      </c>
      <c r="N23" s="21">
        <v>1125000.0</v>
      </c>
      <c r="O23" s="12">
        <f t="shared" si="7"/>
        <v>166666.6667</v>
      </c>
      <c r="P23" s="21">
        <f t="shared" si="13"/>
        <v>540000</v>
      </c>
      <c r="Q23" s="25">
        <v>0.0</v>
      </c>
      <c r="R23" s="25">
        <v>0.0</v>
      </c>
      <c r="S23" s="12">
        <f t="shared" si="10"/>
        <v>1831666.667</v>
      </c>
      <c r="T23" s="12">
        <f t="shared" si="5"/>
        <v>429572.6667</v>
      </c>
      <c r="U23" s="12">
        <f t="shared" si="8"/>
        <v>214786.3333</v>
      </c>
      <c r="V23" s="12">
        <v>0.0</v>
      </c>
      <c r="W23" s="22">
        <f t="shared" si="4"/>
        <v>214786.3333</v>
      </c>
      <c r="X23" s="9" t="s">
        <v>33</v>
      </c>
    </row>
    <row r="24">
      <c r="A24" s="19">
        <v>44208.0</v>
      </c>
      <c r="B24" s="11" t="s">
        <v>64</v>
      </c>
      <c r="C24" s="20" t="s">
        <v>65</v>
      </c>
      <c r="D24" s="12">
        <v>63600.0</v>
      </c>
      <c r="E24" s="11"/>
      <c r="F24" s="20">
        <v>2022.0</v>
      </c>
      <c r="G24" s="20" t="s">
        <v>51</v>
      </c>
      <c r="H24" s="25">
        <v>0.0</v>
      </c>
      <c r="I24" s="23">
        <f t="shared" si="11"/>
        <v>47766.33333</v>
      </c>
      <c r="J24" s="21">
        <v>760000.0</v>
      </c>
      <c r="K24" s="21">
        <v>0.0</v>
      </c>
      <c r="L24" s="21">
        <v>0.0</v>
      </c>
      <c r="M24" s="23">
        <f>I24+J24+SUM(D385:D400)</f>
        <v>2731752.333</v>
      </c>
      <c r="N24" s="21">
        <v>1125000.0</v>
      </c>
      <c r="O24" s="12">
        <f t="shared" si="7"/>
        <v>166666.6667</v>
      </c>
      <c r="P24" s="21">
        <f t="shared" si="13"/>
        <v>540000</v>
      </c>
      <c r="Q24" s="25">
        <v>0.0</v>
      </c>
      <c r="R24" s="25">
        <v>0.0</v>
      </c>
      <c r="S24" s="12">
        <f t="shared" si="10"/>
        <v>1831666.667</v>
      </c>
      <c r="T24" s="12">
        <f t="shared" si="5"/>
        <v>900085.6667</v>
      </c>
      <c r="U24" s="12">
        <f t="shared" si="8"/>
        <v>450042.8333</v>
      </c>
      <c r="V24" s="12">
        <v>0.0</v>
      </c>
      <c r="W24" s="22">
        <f t="shared" si="4"/>
        <v>450042.8333</v>
      </c>
      <c r="X24" s="9" t="s">
        <v>33</v>
      </c>
    </row>
    <row r="25">
      <c r="A25" s="19">
        <v>44211.0</v>
      </c>
      <c r="B25" s="11" t="s">
        <v>15</v>
      </c>
      <c r="C25" s="11" t="s">
        <v>16</v>
      </c>
      <c r="D25" s="12">
        <v>67861.0</v>
      </c>
      <c r="E25" s="11"/>
      <c r="F25" s="20">
        <v>2022.0</v>
      </c>
      <c r="G25" s="11" t="s">
        <v>53</v>
      </c>
      <c r="H25" s="25">
        <v>0.0</v>
      </c>
      <c r="I25" s="23">
        <f t="shared" si="11"/>
        <v>47766.33333</v>
      </c>
      <c r="J25" s="21">
        <v>760000.0</v>
      </c>
      <c r="K25" s="21">
        <f t="shared" ref="K25:K30" si="14">602616/6</f>
        <v>100436</v>
      </c>
      <c r="L25" s="21">
        <v>0.0</v>
      </c>
      <c r="M25" s="23">
        <f>H25+I25+J25+SUM(D401:D416)+K25</f>
        <v>3579719.333</v>
      </c>
      <c r="N25" s="21">
        <v>1125000.0</v>
      </c>
      <c r="O25" s="12">
        <f t="shared" si="7"/>
        <v>166666.6667</v>
      </c>
      <c r="P25" s="21">
        <f t="shared" si="13"/>
        <v>540000</v>
      </c>
      <c r="Q25" s="25">
        <v>0.0</v>
      </c>
      <c r="R25" s="25">
        <v>0.0</v>
      </c>
      <c r="S25" s="12">
        <f t="shared" si="10"/>
        <v>1831666.667</v>
      </c>
      <c r="T25" s="12">
        <f t="shared" si="5"/>
        <v>1748052.667</v>
      </c>
      <c r="U25" s="12">
        <f t="shared" si="8"/>
        <v>874026.3333</v>
      </c>
      <c r="V25" s="12">
        <f t="shared" ref="V25:V27" si="15">130938</f>
        <v>130938</v>
      </c>
      <c r="W25" s="22">
        <f t="shared" si="4"/>
        <v>743088.3333</v>
      </c>
      <c r="X25" s="9" t="s">
        <v>33</v>
      </c>
      <c r="Y25" s="26" t="s">
        <v>66</v>
      </c>
    </row>
    <row r="26">
      <c r="A26" s="19">
        <v>44212.0</v>
      </c>
      <c r="B26" s="11" t="s">
        <v>30</v>
      </c>
      <c r="C26" s="11" t="s">
        <v>50</v>
      </c>
      <c r="D26" s="12">
        <v>66632.0</v>
      </c>
      <c r="E26" s="11"/>
      <c r="F26" s="20">
        <v>2022.0</v>
      </c>
      <c r="G26" s="20" t="s">
        <v>55</v>
      </c>
      <c r="H26" s="25">
        <v>0.0</v>
      </c>
      <c r="I26" s="23">
        <f t="shared" si="11"/>
        <v>47766.33333</v>
      </c>
      <c r="J26" s="21">
        <v>760000.0</v>
      </c>
      <c r="K26" s="21">
        <f t="shared" si="14"/>
        <v>100436</v>
      </c>
      <c r="L26" s="21">
        <v>0.0</v>
      </c>
      <c r="M26" s="23">
        <f>H26+I26+J26+SUM(D417:D437)+K26</f>
        <v>3170260.333</v>
      </c>
      <c r="N26" s="21">
        <v>1125000.0</v>
      </c>
      <c r="O26" s="12">
        <f t="shared" si="7"/>
        <v>166666.6667</v>
      </c>
      <c r="P26" s="21">
        <f t="shared" si="13"/>
        <v>540000</v>
      </c>
      <c r="Q26" s="25">
        <v>0.0</v>
      </c>
      <c r="R26" s="25">
        <v>0.0</v>
      </c>
      <c r="S26" s="12">
        <f>sum(N26:R26)+50000</f>
        <v>1881666.667</v>
      </c>
      <c r="T26" s="12">
        <f t="shared" si="5"/>
        <v>1288593.667</v>
      </c>
      <c r="U26" s="12">
        <f t="shared" si="8"/>
        <v>644296.8333</v>
      </c>
      <c r="V26" s="12">
        <f t="shared" si="15"/>
        <v>130938</v>
      </c>
      <c r="W26" s="22">
        <f t="shared" si="4"/>
        <v>513358.8333</v>
      </c>
      <c r="X26" s="9" t="s">
        <v>33</v>
      </c>
      <c r="Y26" s="27" t="s">
        <v>67</v>
      </c>
    </row>
    <row r="27">
      <c r="A27" s="19">
        <v>44212.0</v>
      </c>
      <c r="B27" s="11" t="s">
        <v>64</v>
      </c>
      <c r="C27" s="11" t="s">
        <v>68</v>
      </c>
      <c r="D27" s="12">
        <v>166556.0</v>
      </c>
      <c r="E27" s="11"/>
      <c r="F27" s="20">
        <v>2022.0</v>
      </c>
      <c r="G27" s="20" t="s">
        <v>56</v>
      </c>
      <c r="H27" s="25">
        <v>0.0</v>
      </c>
      <c r="I27" s="23">
        <f t="shared" si="11"/>
        <v>47766.33333</v>
      </c>
      <c r="J27" s="21">
        <v>760000.0</v>
      </c>
      <c r="K27" s="21">
        <f t="shared" si="14"/>
        <v>100436</v>
      </c>
      <c r="L27" s="21">
        <v>110000.0</v>
      </c>
      <c r="M27" s="23">
        <f>H27+I27+J27+SUM(D438:D456)+K27+L27</f>
        <v>3006699.333</v>
      </c>
      <c r="N27" s="21">
        <v>1125000.0</v>
      </c>
      <c r="O27" s="12">
        <f t="shared" si="7"/>
        <v>166666.6667</v>
      </c>
      <c r="P27" s="21">
        <f t="shared" si="13"/>
        <v>540000</v>
      </c>
      <c r="Q27" s="25">
        <v>0.0</v>
      </c>
      <c r="R27" s="25">
        <v>0.0</v>
      </c>
      <c r="S27" s="12">
        <f t="shared" ref="S27:S99" si="16">sum(N27:R27)</f>
        <v>1831666.667</v>
      </c>
      <c r="T27" s="12">
        <f t="shared" si="5"/>
        <v>1175032.667</v>
      </c>
      <c r="U27" s="12">
        <f t="shared" si="8"/>
        <v>587516.3333</v>
      </c>
      <c r="V27" s="12">
        <f t="shared" si="15"/>
        <v>130938</v>
      </c>
      <c r="W27" s="22">
        <f t="shared" si="4"/>
        <v>456578.3333</v>
      </c>
      <c r="X27" s="9" t="s">
        <v>69</v>
      </c>
      <c r="Y27" s="26" t="s">
        <v>70</v>
      </c>
    </row>
    <row r="28">
      <c r="A28" s="19">
        <v>44219.0</v>
      </c>
      <c r="B28" s="11" t="s">
        <v>30</v>
      </c>
      <c r="C28" s="11" t="s">
        <v>36</v>
      </c>
      <c r="D28" s="12">
        <v>97780.0</v>
      </c>
      <c r="E28" s="11"/>
      <c r="F28" s="20">
        <v>2023.0</v>
      </c>
      <c r="G28" s="11" t="s">
        <v>57</v>
      </c>
      <c r="H28" s="25">
        <v>0.0</v>
      </c>
      <c r="I28" s="23">
        <f t="shared" si="11"/>
        <v>47766.33333</v>
      </c>
      <c r="J28" s="21">
        <v>760000.0</v>
      </c>
      <c r="K28" s="21">
        <f t="shared" si="14"/>
        <v>100436</v>
      </c>
      <c r="L28" s="21">
        <v>110000.0</v>
      </c>
      <c r="M28" s="23">
        <f>H28+I28+J28+SUM(D457:D471)+K28+L28</f>
        <v>2840100.333</v>
      </c>
      <c r="N28" s="21">
        <v>1125000.0</v>
      </c>
      <c r="O28" s="12">
        <f t="shared" si="7"/>
        <v>166666.6667</v>
      </c>
      <c r="P28" s="21">
        <v>400000.0</v>
      </c>
      <c r="Q28" s="25">
        <v>0.0</v>
      </c>
      <c r="R28" s="25">
        <v>0.0</v>
      </c>
      <c r="S28" s="12">
        <f t="shared" si="16"/>
        <v>1691666.667</v>
      </c>
      <c r="T28" s="12">
        <f t="shared" si="5"/>
        <v>1148433.667</v>
      </c>
      <c r="U28" s="12">
        <f t="shared" si="8"/>
        <v>574216.8333</v>
      </c>
      <c r="V28" s="12">
        <f t="shared" ref="V28:V29" si="17">200000</f>
        <v>200000</v>
      </c>
      <c r="W28" s="22">
        <f t="shared" si="4"/>
        <v>374216.8333</v>
      </c>
      <c r="X28" s="9" t="s">
        <v>33</v>
      </c>
      <c r="Y28" s="17" t="s">
        <v>71</v>
      </c>
    </row>
    <row r="29">
      <c r="A29" s="19">
        <v>44221.0</v>
      </c>
      <c r="B29" s="11" t="s">
        <v>30</v>
      </c>
      <c r="C29" s="11" t="s">
        <v>61</v>
      </c>
      <c r="D29" s="12">
        <v>65650.0</v>
      </c>
      <c r="E29" s="11"/>
      <c r="F29" s="20">
        <v>2023.0</v>
      </c>
      <c r="G29" s="20" t="s">
        <v>58</v>
      </c>
      <c r="H29" s="25">
        <v>0.0</v>
      </c>
      <c r="I29" s="23">
        <f t="shared" si="11"/>
        <v>47766.33333</v>
      </c>
      <c r="J29" s="21">
        <v>760000.0</v>
      </c>
      <c r="K29" s="21">
        <f t="shared" si="14"/>
        <v>100436</v>
      </c>
      <c r="L29" s="21">
        <v>110000.0</v>
      </c>
      <c r="M29" s="23">
        <f>H29+I29+J29+SUM(D472:D488)+K29+L29</f>
        <v>3557181.333</v>
      </c>
      <c r="N29" s="21">
        <v>1125000.0</v>
      </c>
      <c r="O29" s="12">
        <f t="shared" si="7"/>
        <v>166666.6667</v>
      </c>
      <c r="P29" s="21">
        <v>400000.0</v>
      </c>
      <c r="Q29" s="25">
        <v>0.0</v>
      </c>
      <c r="R29" s="25">
        <v>0.0</v>
      </c>
      <c r="S29" s="12">
        <f t="shared" si="16"/>
        <v>1691666.667</v>
      </c>
      <c r="T29" s="12">
        <f t="shared" si="5"/>
        <v>1865514.667</v>
      </c>
      <c r="U29" s="12">
        <f t="shared" si="8"/>
        <v>932757.3333</v>
      </c>
      <c r="V29" s="12">
        <f t="shared" si="17"/>
        <v>200000</v>
      </c>
      <c r="W29" s="22">
        <f t="shared" si="4"/>
        <v>732757.3333</v>
      </c>
      <c r="X29" s="9" t="s">
        <v>33</v>
      </c>
      <c r="Y29" s="27" t="s">
        <v>72</v>
      </c>
      <c r="AA29" s="28"/>
      <c r="AB29" s="26" t="s">
        <v>73</v>
      </c>
    </row>
    <row r="30">
      <c r="A30" s="19">
        <v>44221.0</v>
      </c>
      <c r="B30" s="11" t="s">
        <v>30</v>
      </c>
      <c r="C30" s="11" t="s">
        <v>74</v>
      </c>
      <c r="D30" s="12">
        <v>13409.0</v>
      </c>
      <c r="E30" s="11"/>
      <c r="F30" s="20">
        <v>2023.0</v>
      </c>
      <c r="G30" s="20" t="s">
        <v>59</v>
      </c>
      <c r="H30" s="25">
        <v>0.0</v>
      </c>
      <c r="I30" s="23">
        <f t="shared" si="11"/>
        <v>47766.33333</v>
      </c>
      <c r="J30" s="21">
        <v>760000.0</v>
      </c>
      <c r="K30" s="21">
        <f t="shared" si="14"/>
        <v>100436</v>
      </c>
      <c r="L30" s="21">
        <v>110000.0</v>
      </c>
      <c r="M30" s="23">
        <f>H30+I30+J30+SUM(D490:D503)+K30+L30</f>
        <v>2847436.333</v>
      </c>
      <c r="N30" s="21">
        <v>1125000.0</v>
      </c>
      <c r="O30" s="12">
        <f t="shared" si="7"/>
        <v>166666.6667</v>
      </c>
      <c r="P30" s="21">
        <v>400000.0</v>
      </c>
      <c r="Q30" s="25">
        <v>0.0</v>
      </c>
      <c r="R30" s="25">
        <v>0.0</v>
      </c>
      <c r="S30" s="12">
        <f t="shared" si="16"/>
        <v>1691666.667</v>
      </c>
      <c r="T30" s="12">
        <f t="shared" si="5"/>
        <v>1155769.667</v>
      </c>
      <c r="U30" s="12">
        <f t="shared" si="8"/>
        <v>577884.8333</v>
      </c>
      <c r="V30" s="21">
        <v>200000.0</v>
      </c>
      <c r="W30" s="22">
        <f t="shared" si="4"/>
        <v>377884.8333</v>
      </c>
      <c r="X30" s="9" t="s">
        <v>75</v>
      </c>
    </row>
    <row r="31">
      <c r="A31" s="19">
        <v>44223.0</v>
      </c>
      <c r="B31" s="11" t="s">
        <v>64</v>
      </c>
      <c r="C31" s="11" t="s">
        <v>76</v>
      </c>
      <c r="D31" s="12">
        <v>159732.0</v>
      </c>
      <c r="E31" s="11"/>
      <c r="F31" s="20">
        <v>2023.0</v>
      </c>
      <c r="G31" s="11" t="s">
        <v>62</v>
      </c>
      <c r="H31" s="25">
        <v>0.0</v>
      </c>
      <c r="I31" s="23">
        <f t="shared" si="11"/>
        <v>47766.33333</v>
      </c>
      <c r="J31" s="21">
        <v>760000.0</v>
      </c>
      <c r="K31" s="25">
        <f t="shared" ref="K31:K42" si="18">1375450/12</f>
        <v>114620.8333</v>
      </c>
      <c r="L31" s="21">
        <v>110000.0</v>
      </c>
      <c r="M31" s="23">
        <f>H31+I31+J31+SUM(D504:D525)+K31+L31</f>
        <v>3870200.167</v>
      </c>
      <c r="N31" s="21">
        <v>1125000.0</v>
      </c>
      <c r="O31" s="12">
        <f t="shared" si="7"/>
        <v>166666.6667</v>
      </c>
      <c r="P31" s="21">
        <v>400000.0</v>
      </c>
      <c r="Q31" s="25">
        <v>0.0</v>
      </c>
      <c r="R31" s="25">
        <v>0.0</v>
      </c>
      <c r="S31" s="12">
        <f t="shared" si="16"/>
        <v>1691666.667</v>
      </c>
      <c r="T31" s="12">
        <f t="shared" si="5"/>
        <v>2178533.5</v>
      </c>
      <c r="U31" s="12">
        <f t="shared" si="8"/>
        <v>1089266.75</v>
      </c>
      <c r="V31" s="12">
        <f t="shared" ref="V31:V99" si="19">130938</f>
        <v>130938</v>
      </c>
      <c r="W31" s="22">
        <f t="shared" si="4"/>
        <v>958328.75</v>
      </c>
      <c r="X31" s="9" t="s">
        <v>75</v>
      </c>
    </row>
    <row r="32">
      <c r="A32" s="19">
        <v>44225.0</v>
      </c>
      <c r="B32" s="11" t="s">
        <v>30</v>
      </c>
      <c r="C32" s="11" t="s">
        <v>50</v>
      </c>
      <c r="D32" s="12">
        <v>50361.0</v>
      </c>
      <c r="E32" s="11"/>
      <c r="F32" s="20">
        <v>2023.0</v>
      </c>
      <c r="G32" s="20" t="s">
        <v>44</v>
      </c>
      <c r="H32" s="25">
        <v>0.0</v>
      </c>
      <c r="I32" s="23">
        <f t="shared" si="11"/>
        <v>47766.33333</v>
      </c>
      <c r="J32" s="21">
        <v>760000.0</v>
      </c>
      <c r="K32" s="25">
        <f t="shared" si="18"/>
        <v>114620.8333</v>
      </c>
      <c r="L32" s="21">
        <v>110000.0</v>
      </c>
      <c r="M32" s="23">
        <f t="shared" ref="M32:M35" si="20">H32+I32+J32+SUM(D408:D432)+K32+L32</f>
        <v>4399261.167</v>
      </c>
      <c r="N32" s="21">
        <v>1125000.0</v>
      </c>
      <c r="O32" s="12">
        <f t="shared" si="7"/>
        <v>166666.6667</v>
      </c>
      <c r="P32" s="21">
        <v>400000.0</v>
      </c>
      <c r="Q32" s="25">
        <v>0.0</v>
      </c>
      <c r="R32" s="25">
        <v>0.0</v>
      </c>
      <c r="S32" s="12">
        <f t="shared" si="16"/>
        <v>1691666.667</v>
      </c>
      <c r="T32" s="12">
        <f t="shared" si="5"/>
        <v>2707594.5</v>
      </c>
      <c r="U32" s="12">
        <f t="shared" si="8"/>
        <v>1353797.25</v>
      </c>
      <c r="V32" s="12">
        <f t="shared" si="19"/>
        <v>130938</v>
      </c>
      <c r="W32" s="22">
        <f t="shared" si="4"/>
        <v>1222859.25</v>
      </c>
      <c r="X32" s="29"/>
    </row>
    <row r="33">
      <c r="A33" s="19">
        <v>44225.0</v>
      </c>
      <c r="B33" s="11" t="s">
        <v>30</v>
      </c>
      <c r="C33" s="11" t="s">
        <v>41</v>
      </c>
      <c r="D33" s="12">
        <v>32846.0</v>
      </c>
      <c r="E33" s="11"/>
      <c r="F33" s="20">
        <v>2023.0</v>
      </c>
      <c r="G33" s="20" t="s">
        <v>47</v>
      </c>
      <c r="H33" s="25">
        <v>0.0</v>
      </c>
      <c r="I33" s="23">
        <f t="shared" si="11"/>
        <v>47766.33333</v>
      </c>
      <c r="J33" s="21">
        <v>760000.0</v>
      </c>
      <c r="K33" s="25">
        <f t="shared" si="18"/>
        <v>114620.8333</v>
      </c>
      <c r="L33" s="25">
        <v>0.0</v>
      </c>
      <c r="M33" s="23">
        <f t="shared" si="20"/>
        <v>4246430.167</v>
      </c>
      <c r="N33" s="21">
        <v>1125000.0</v>
      </c>
      <c r="O33" s="12">
        <f t="shared" si="7"/>
        <v>166666.6667</v>
      </c>
      <c r="P33" s="21">
        <v>400000.0</v>
      </c>
      <c r="Q33" s="25">
        <v>0.0</v>
      </c>
      <c r="R33" s="25">
        <v>0.0</v>
      </c>
      <c r="S33" s="12">
        <f t="shared" si="16"/>
        <v>1691666.667</v>
      </c>
      <c r="T33" s="12">
        <f t="shared" si="5"/>
        <v>2554763.5</v>
      </c>
      <c r="U33" s="12">
        <f t="shared" si="8"/>
        <v>1277381.75</v>
      </c>
      <c r="V33" s="12">
        <f t="shared" si="19"/>
        <v>130938</v>
      </c>
      <c r="W33" s="22">
        <f t="shared" si="4"/>
        <v>1146443.75</v>
      </c>
      <c r="X33" s="29"/>
    </row>
    <row r="34">
      <c r="A34" s="19">
        <v>44227.0</v>
      </c>
      <c r="B34" s="11" t="s">
        <v>15</v>
      </c>
      <c r="C34" s="11" t="s">
        <v>16</v>
      </c>
      <c r="D34" s="12">
        <v>68382.0</v>
      </c>
      <c r="E34" s="11"/>
      <c r="F34" s="20">
        <v>2023.0</v>
      </c>
      <c r="G34" s="11" t="s">
        <v>48</v>
      </c>
      <c r="H34" s="25">
        <v>0.0</v>
      </c>
      <c r="I34" s="23">
        <f t="shared" si="11"/>
        <v>47766.33333</v>
      </c>
      <c r="J34" s="21">
        <v>760000.0</v>
      </c>
      <c r="K34" s="25">
        <f t="shared" si="18"/>
        <v>114620.8333</v>
      </c>
      <c r="L34" s="25">
        <v>0.0</v>
      </c>
      <c r="M34" s="23">
        <f t="shared" si="20"/>
        <v>4045745.167</v>
      </c>
      <c r="N34" s="21">
        <v>1125000.0</v>
      </c>
      <c r="O34" s="12">
        <f t="shared" si="7"/>
        <v>166666.6667</v>
      </c>
      <c r="P34" s="21">
        <v>400000.0</v>
      </c>
      <c r="Q34" s="25">
        <v>0.0</v>
      </c>
      <c r="R34" s="25">
        <v>0.0</v>
      </c>
      <c r="S34" s="12">
        <f t="shared" si="16"/>
        <v>1691666.667</v>
      </c>
      <c r="T34" s="12">
        <f t="shared" si="5"/>
        <v>2354078.5</v>
      </c>
      <c r="U34" s="12">
        <f t="shared" si="8"/>
        <v>1177039.25</v>
      </c>
      <c r="V34" s="12">
        <f t="shared" si="19"/>
        <v>130938</v>
      </c>
      <c r="W34" s="22">
        <f t="shared" si="4"/>
        <v>1046101.25</v>
      </c>
      <c r="X34" s="29"/>
    </row>
    <row r="35">
      <c r="A35" s="19">
        <v>44230.0</v>
      </c>
      <c r="B35" s="11" t="s">
        <v>30</v>
      </c>
      <c r="C35" s="11" t="s">
        <v>74</v>
      </c>
      <c r="D35" s="12">
        <v>20761.0</v>
      </c>
      <c r="E35" s="11"/>
      <c r="F35" s="20">
        <v>2023.0</v>
      </c>
      <c r="G35" s="20" t="s">
        <v>49</v>
      </c>
      <c r="H35" s="25">
        <v>0.0</v>
      </c>
      <c r="I35" s="23">
        <f t="shared" si="11"/>
        <v>47766.33333</v>
      </c>
      <c r="J35" s="21">
        <v>760000.0</v>
      </c>
      <c r="K35" s="25">
        <f t="shared" si="18"/>
        <v>114620.8333</v>
      </c>
      <c r="L35" s="25">
        <v>0.0</v>
      </c>
      <c r="M35" s="23">
        <f t="shared" si="20"/>
        <v>4145136.167</v>
      </c>
      <c r="N35" s="21">
        <v>1125000.0</v>
      </c>
      <c r="O35" s="12">
        <f t="shared" si="7"/>
        <v>166666.6667</v>
      </c>
      <c r="P35" s="21">
        <v>400000.0</v>
      </c>
      <c r="Q35" s="25">
        <v>0.0</v>
      </c>
      <c r="R35" s="25">
        <v>0.0</v>
      </c>
      <c r="S35" s="12">
        <f t="shared" si="16"/>
        <v>1691666.667</v>
      </c>
      <c r="T35" s="12">
        <f t="shared" si="5"/>
        <v>2453469.5</v>
      </c>
      <c r="U35" s="12">
        <f t="shared" si="8"/>
        <v>1226734.75</v>
      </c>
      <c r="V35" s="12">
        <f t="shared" si="19"/>
        <v>130938</v>
      </c>
      <c r="W35" s="22">
        <f t="shared" si="4"/>
        <v>1095796.75</v>
      </c>
      <c r="X35" s="29"/>
    </row>
    <row r="36">
      <c r="A36" s="19">
        <v>44230.0</v>
      </c>
      <c r="B36" s="11" t="s">
        <v>30</v>
      </c>
      <c r="C36" s="11" t="s">
        <v>61</v>
      </c>
      <c r="D36" s="12">
        <v>70210.0</v>
      </c>
      <c r="E36" s="11"/>
      <c r="F36" s="20">
        <v>2023.0</v>
      </c>
      <c r="G36" s="11" t="s">
        <v>51</v>
      </c>
      <c r="H36" s="25">
        <v>0.0</v>
      </c>
      <c r="I36" s="23">
        <f t="shared" si="11"/>
        <v>47766.33333</v>
      </c>
      <c r="J36" s="21">
        <v>760000.0</v>
      </c>
      <c r="K36" s="25">
        <f t="shared" si="18"/>
        <v>114620.8333</v>
      </c>
      <c r="L36" s="25">
        <v>0.0</v>
      </c>
      <c r="M36" s="23">
        <f>H36+I36+J36+SUM(D412:D437)+K36+L36</f>
        <v>4239647.167</v>
      </c>
      <c r="N36" s="21">
        <v>1125000.0</v>
      </c>
      <c r="O36" s="12">
        <f t="shared" si="7"/>
        <v>166666.6667</v>
      </c>
      <c r="P36" s="21">
        <v>400000.0</v>
      </c>
      <c r="Q36" s="25">
        <v>0.0</v>
      </c>
      <c r="R36" s="25">
        <v>0.0</v>
      </c>
      <c r="S36" s="12">
        <f t="shared" si="16"/>
        <v>1691666.667</v>
      </c>
      <c r="T36" s="12">
        <f t="shared" si="5"/>
        <v>2547980.5</v>
      </c>
      <c r="U36" s="12">
        <f t="shared" si="8"/>
        <v>1273990.25</v>
      </c>
      <c r="V36" s="12">
        <f t="shared" si="19"/>
        <v>130938</v>
      </c>
      <c r="W36" s="22">
        <f t="shared" si="4"/>
        <v>1143052.25</v>
      </c>
      <c r="X36" s="29"/>
    </row>
    <row r="37">
      <c r="A37" s="19">
        <v>44234.0</v>
      </c>
      <c r="B37" s="11" t="s">
        <v>30</v>
      </c>
      <c r="C37" s="11" t="s">
        <v>52</v>
      </c>
      <c r="D37" s="12">
        <v>33800.0</v>
      </c>
      <c r="E37" s="11"/>
      <c r="F37" s="20">
        <v>2023.0</v>
      </c>
      <c r="G37" s="20" t="s">
        <v>53</v>
      </c>
      <c r="H37" s="25">
        <v>0.0</v>
      </c>
      <c r="I37" s="23">
        <f t="shared" si="11"/>
        <v>47766.33333</v>
      </c>
      <c r="J37" s="21">
        <v>760000.0</v>
      </c>
      <c r="K37" s="25">
        <f t="shared" si="18"/>
        <v>114620.8333</v>
      </c>
      <c r="L37" s="25">
        <v>0.0</v>
      </c>
      <c r="M37" s="23">
        <f>H37+I37+J37+SUM(D413:D440)+K37+L37</f>
        <v>4504667.167</v>
      </c>
      <c r="N37" s="21">
        <v>1125000.0</v>
      </c>
      <c r="O37" s="12">
        <f t="shared" si="7"/>
        <v>166666.6667</v>
      </c>
      <c r="P37" s="21">
        <v>400000.0</v>
      </c>
      <c r="Q37" s="25">
        <v>0.0</v>
      </c>
      <c r="R37" s="25">
        <v>0.0</v>
      </c>
      <c r="S37" s="12">
        <f t="shared" si="16"/>
        <v>1691666.667</v>
      </c>
      <c r="T37" s="12">
        <f t="shared" si="5"/>
        <v>2813000.5</v>
      </c>
      <c r="U37" s="12">
        <f t="shared" si="8"/>
        <v>1406500.25</v>
      </c>
      <c r="V37" s="12">
        <f t="shared" si="19"/>
        <v>130938</v>
      </c>
      <c r="W37" s="22">
        <f t="shared" si="4"/>
        <v>1275562.25</v>
      </c>
      <c r="X37" s="29"/>
    </row>
    <row r="38">
      <c r="A38" s="19">
        <v>44234.0</v>
      </c>
      <c r="B38" s="11" t="s">
        <v>15</v>
      </c>
      <c r="C38" s="11" t="s">
        <v>16</v>
      </c>
      <c r="D38" s="12">
        <v>66512.0</v>
      </c>
      <c r="E38" s="11"/>
      <c r="F38" s="20">
        <v>2023.0</v>
      </c>
      <c r="G38" s="20" t="s">
        <v>55</v>
      </c>
      <c r="H38" s="25">
        <v>0.0</v>
      </c>
      <c r="I38" s="23">
        <f t="shared" si="11"/>
        <v>47766.33333</v>
      </c>
      <c r="J38" s="21">
        <v>760000.0</v>
      </c>
      <c r="K38" s="25">
        <f t="shared" si="18"/>
        <v>114620.8333</v>
      </c>
      <c r="L38" s="25">
        <v>0.0</v>
      </c>
      <c r="M38" s="23">
        <f>H38+I38+J38+SUM(D414:D442)+K38+L38</f>
        <v>4240181.167</v>
      </c>
      <c r="N38" s="21">
        <v>1125000.0</v>
      </c>
      <c r="O38" s="12">
        <f t="shared" si="7"/>
        <v>166666.6667</v>
      </c>
      <c r="P38" s="21">
        <v>400000.0</v>
      </c>
      <c r="Q38" s="25">
        <v>0.0</v>
      </c>
      <c r="R38" s="25">
        <v>0.0</v>
      </c>
      <c r="S38" s="12">
        <f t="shared" si="16"/>
        <v>1691666.667</v>
      </c>
      <c r="T38" s="12">
        <f t="shared" si="5"/>
        <v>2548514.5</v>
      </c>
      <c r="U38" s="12">
        <f t="shared" si="8"/>
        <v>1274257.25</v>
      </c>
      <c r="V38" s="12">
        <f t="shared" si="19"/>
        <v>130938</v>
      </c>
      <c r="W38" s="22">
        <f t="shared" si="4"/>
        <v>1143319.25</v>
      </c>
      <c r="X38" s="29"/>
    </row>
    <row r="39">
      <c r="A39" s="19">
        <v>44234.0</v>
      </c>
      <c r="B39" s="11" t="s">
        <v>15</v>
      </c>
      <c r="C39" s="11" t="s">
        <v>77</v>
      </c>
      <c r="D39" s="12">
        <v>23000.0</v>
      </c>
      <c r="E39" s="11"/>
      <c r="F39" s="20">
        <v>2023.0</v>
      </c>
      <c r="G39" s="11" t="s">
        <v>56</v>
      </c>
      <c r="H39" s="25">
        <v>0.0</v>
      </c>
      <c r="I39" s="23">
        <f t="shared" si="11"/>
        <v>47766.33333</v>
      </c>
      <c r="J39" s="21">
        <v>760000.0</v>
      </c>
      <c r="K39" s="25">
        <f t="shared" si="18"/>
        <v>114620.8333</v>
      </c>
      <c r="L39" s="25">
        <v>0.0</v>
      </c>
      <c r="M39" s="23">
        <f>H39+I39+J39+SUM(D415:D445)+K39+L39</f>
        <v>4363723.167</v>
      </c>
      <c r="N39" s="21">
        <v>1125000.0</v>
      </c>
      <c r="O39" s="12">
        <f t="shared" si="7"/>
        <v>166666.6667</v>
      </c>
      <c r="P39" s="21">
        <v>400000.0</v>
      </c>
      <c r="Q39" s="25">
        <v>0.0</v>
      </c>
      <c r="R39" s="25">
        <v>0.0</v>
      </c>
      <c r="S39" s="12">
        <f t="shared" si="16"/>
        <v>1691666.667</v>
      </c>
      <c r="T39" s="12">
        <f t="shared" si="5"/>
        <v>2672056.5</v>
      </c>
      <c r="U39" s="12">
        <f t="shared" si="8"/>
        <v>1336028.25</v>
      </c>
      <c r="V39" s="12">
        <f t="shared" si="19"/>
        <v>130938</v>
      </c>
      <c r="W39" s="22">
        <f t="shared" si="4"/>
        <v>1205090.25</v>
      </c>
      <c r="X39" s="29"/>
    </row>
    <row r="40">
      <c r="A40" s="19">
        <v>44236.0</v>
      </c>
      <c r="B40" s="11" t="s">
        <v>64</v>
      </c>
      <c r="C40" s="11" t="s">
        <v>68</v>
      </c>
      <c r="D40" s="12">
        <v>116555.0</v>
      </c>
      <c r="E40" s="11"/>
      <c r="F40" s="20">
        <v>2024.0</v>
      </c>
      <c r="G40" s="20" t="s">
        <v>57</v>
      </c>
      <c r="H40" s="25">
        <v>0.0</v>
      </c>
      <c r="I40" s="23">
        <f t="shared" si="11"/>
        <v>47766.33333</v>
      </c>
      <c r="J40" s="21">
        <v>760000.0</v>
      </c>
      <c r="K40" s="25">
        <f t="shared" si="18"/>
        <v>114620.8333</v>
      </c>
      <c r="L40" s="25">
        <v>0.0</v>
      </c>
      <c r="M40" s="23">
        <f>H40+I40+J40+SUM(D416:D449)+K40+L40</f>
        <v>4562781.167</v>
      </c>
      <c r="N40" s="21">
        <v>1125000.0</v>
      </c>
      <c r="O40" s="12">
        <f t="shared" si="7"/>
        <v>166666.6667</v>
      </c>
      <c r="P40" s="21">
        <v>400000.0</v>
      </c>
      <c r="Q40" s="25">
        <v>0.0</v>
      </c>
      <c r="R40" s="25">
        <v>0.0</v>
      </c>
      <c r="S40" s="12">
        <f t="shared" si="16"/>
        <v>1691666.667</v>
      </c>
      <c r="T40" s="12">
        <f t="shared" si="5"/>
        <v>2871114.5</v>
      </c>
      <c r="U40" s="12">
        <f t="shared" si="8"/>
        <v>1435557.25</v>
      </c>
      <c r="V40" s="12">
        <f t="shared" si="19"/>
        <v>130938</v>
      </c>
      <c r="W40" s="22">
        <f t="shared" si="4"/>
        <v>1304619.25</v>
      </c>
      <c r="X40" s="29"/>
    </row>
    <row r="41">
      <c r="A41" s="19">
        <v>44236.0</v>
      </c>
      <c r="B41" s="11" t="s">
        <v>15</v>
      </c>
      <c r="C41" s="11" t="s">
        <v>26</v>
      </c>
      <c r="D41" s="12">
        <v>200000.0</v>
      </c>
      <c r="E41" s="11"/>
      <c r="F41" s="20">
        <v>2024.0</v>
      </c>
      <c r="G41" s="20" t="s">
        <v>58</v>
      </c>
      <c r="H41" s="25">
        <v>0.0</v>
      </c>
      <c r="I41" s="23">
        <f t="shared" si="11"/>
        <v>47766.33333</v>
      </c>
      <c r="J41" s="21">
        <v>760000.0</v>
      </c>
      <c r="K41" s="25">
        <f t="shared" si="18"/>
        <v>114620.8333</v>
      </c>
      <c r="L41" s="25">
        <v>0.0</v>
      </c>
      <c r="M41" s="23">
        <f t="shared" ref="M41:M42" si="21">H41+I41+J41+SUM(D417:D453)+K41+L41</f>
        <v>4825762.167</v>
      </c>
      <c r="N41" s="21">
        <v>1125000.0</v>
      </c>
      <c r="O41" s="12">
        <f t="shared" si="7"/>
        <v>166666.6667</v>
      </c>
      <c r="P41" s="21">
        <v>400000.0</v>
      </c>
      <c r="Q41" s="25">
        <v>0.0</v>
      </c>
      <c r="R41" s="25">
        <v>0.0</v>
      </c>
      <c r="S41" s="12">
        <f t="shared" si="16"/>
        <v>1691666.667</v>
      </c>
      <c r="T41" s="12">
        <f t="shared" si="5"/>
        <v>3134095.5</v>
      </c>
      <c r="U41" s="12">
        <f t="shared" si="8"/>
        <v>1567047.75</v>
      </c>
      <c r="V41" s="12">
        <f t="shared" si="19"/>
        <v>130938</v>
      </c>
      <c r="W41" s="22">
        <f t="shared" si="4"/>
        <v>1436109.75</v>
      </c>
      <c r="X41" s="29"/>
    </row>
    <row r="42">
      <c r="A42" s="19">
        <v>44238.0</v>
      </c>
      <c r="B42" s="11" t="s">
        <v>64</v>
      </c>
      <c r="C42" s="11" t="s">
        <v>65</v>
      </c>
      <c r="D42" s="12">
        <v>59400.0</v>
      </c>
      <c r="E42" s="11"/>
      <c r="F42" s="20">
        <v>2024.0</v>
      </c>
      <c r="G42" s="11" t="s">
        <v>59</v>
      </c>
      <c r="H42" s="25">
        <v>0.0</v>
      </c>
      <c r="I42" s="23">
        <f t="shared" si="11"/>
        <v>47766.33333</v>
      </c>
      <c r="J42" s="21">
        <v>760000.0</v>
      </c>
      <c r="K42" s="25">
        <f t="shared" si="18"/>
        <v>114620.8333</v>
      </c>
      <c r="L42" s="25">
        <v>0.0</v>
      </c>
      <c r="M42" s="23">
        <f t="shared" si="21"/>
        <v>4357850.167</v>
      </c>
      <c r="N42" s="21">
        <v>1125000.0</v>
      </c>
      <c r="O42" s="12">
        <f t="shared" si="7"/>
        <v>166666.6667</v>
      </c>
      <c r="P42" s="21">
        <v>400000.0</v>
      </c>
      <c r="Q42" s="25">
        <v>0.0</v>
      </c>
      <c r="R42" s="25">
        <v>0.0</v>
      </c>
      <c r="S42" s="12">
        <f t="shared" si="16"/>
        <v>1691666.667</v>
      </c>
      <c r="T42" s="12">
        <f t="shared" si="5"/>
        <v>2666183.5</v>
      </c>
      <c r="U42" s="12">
        <f t="shared" si="8"/>
        <v>1333091.75</v>
      </c>
      <c r="V42" s="12">
        <f t="shared" si="19"/>
        <v>130938</v>
      </c>
      <c r="W42" s="22">
        <f t="shared" si="4"/>
        <v>1202153.75</v>
      </c>
      <c r="X42" s="29"/>
    </row>
    <row r="43">
      <c r="A43" s="19">
        <v>44238.0</v>
      </c>
      <c r="B43" s="11" t="s">
        <v>15</v>
      </c>
      <c r="C43" s="11" t="s">
        <v>16</v>
      </c>
      <c r="D43" s="12">
        <v>64328.0</v>
      </c>
      <c r="E43" s="11"/>
      <c r="F43" s="20">
        <v>2024.0</v>
      </c>
      <c r="G43" s="20" t="s">
        <v>62</v>
      </c>
      <c r="H43" s="25">
        <v>0.0</v>
      </c>
      <c r="I43" s="23">
        <f t="shared" si="11"/>
        <v>47766.33333</v>
      </c>
      <c r="J43" s="21">
        <v>760000.0</v>
      </c>
      <c r="K43" s="25">
        <v>0.0</v>
      </c>
      <c r="L43" s="25">
        <v>0.0</v>
      </c>
      <c r="M43" s="23">
        <f>H43+I43+J43+SUM(D419:D456)+K43+L43</f>
        <v>4476109.333</v>
      </c>
      <c r="N43" s="21">
        <v>1125000.0</v>
      </c>
      <c r="O43" s="12">
        <f t="shared" si="7"/>
        <v>166666.6667</v>
      </c>
      <c r="P43" s="21">
        <v>400000.0</v>
      </c>
      <c r="Q43" s="25">
        <v>0.0</v>
      </c>
      <c r="R43" s="25">
        <v>0.0</v>
      </c>
      <c r="S43" s="12">
        <f t="shared" si="16"/>
        <v>1691666.667</v>
      </c>
      <c r="T43" s="12">
        <f t="shared" si="5"/>
        <v>2784442.667</v>
      </c>
      <c r="U43" s="12">
        <f t="shared" si="8"/>
        <v>1392221.333</v>
      </c>
      <c r="V43" s="12">
        <f t="shared" si="19"/>
        <v>130938</v>
      </c>
      <c r="W43" s="22">
        <f t="shared" si="4"/>
        <v>1261283.333</v>
      </c>
      <c r="X43" s="29"/>
    </row>
    <row r="44">
      <c r="A44" s="19">
        <v>44241.0</v>
      </c>
      <c r="B44" s="11" t="s">
        <v>30</v>
      </c>
      <c r="C44" s="11" t="s">
        <v>50</v>
      </c>
      <c r="D44" s="12">
        <f>10103+128635</f>
        <v>138738</v>
      </c>
      <c r="E44" s="11"/>
      <c r="F44" s="20">
        <v>2024.0</v>
      </c>
      <c r="G44" s="20" t="s">
        <v>44</v>
      </c>
      <c r="H44" s="25">
        <v>0.0</v>
      </c>
      <c r="I44" s="23">
        <f t="shared" si="11"/>
        <v>47766.33333</v>
      </c>
      <c r="J44" s="21">
        <v>760000.0</v>
      </c>
      <c r="K44" s="25">
        <v>0.0</v>
      </c>
      <c r="L44" s="25">
        <v>0.0</v>
      </c>
      <c r="M44" s="23">
        <f>H44+I44+J44+SUM(D420:D458)+K44+L44</f>
        <v>4763624.333</v>
      </c>
      <c r="N44" s="21">
        <v>1125000.0</v>
      </c>
      <c r="O44" s="12">
        <f t="shared" si="7"/>
        <v>166666.6667</v>
      </c>
      <c r="P44" s="21">
        <v>400000.0</v>
      </c>
      <c r="Q44" s="25">
        <v>0.0</v>
      </c>
      <c r="R44" s="25">
        <v>0.0</v>
      </c>
      <c r="S44" s="12">
        <f t="shared" si="16"/>
        <v>1691666.667</v>
      </c>
      <c r="T44" s="12">
        <f t="shared" si="5"/>
        <v>3071957.667</v>
      </c>
      <c r="U44" s="12">
        <f t="shared" si="8"/>
        <v>1535978.833</v>
      </c>
      <c r="V44" s="12">
        <f t="shared" si="19"/>
        <v>130938</v>
      </c>
      <c r="W44" s="22">
        <f t="shared" si="4"/>
        <v>1405040.833</v>
      </c>
      <c r="X44" s="29"/>
    </row>
    <row r="45">
      <c r="A45" s="19">
        <v>44242.0</v>
      </c>
      <c r="B45" s="11" t="s">
        <v>15</v>
      </c>
      <c r="C45" s="11" t="s">
        <v>16</v>
      </c>
      <c r="D45" s="12">
        <v>123384.0</v>
      </c>
      <c r="E45" s="11"/>
      <c r="F45" s="20">
        <v>2024.0</v>
      </c>
      <c r="G45" s="11" t="s">
        <v>47</v>
      </c>
      <c r="H45" s="25">
        <v>0.0</v>
      </c>
      <c r="I45" s="23">
        <f t="shared" si="11"/>
        <v>47766.33333</v>
      </c>
      <c r="J45" s="21">
        <v>760000.0</v>
      </c>
      <c r="K45" s="25">
        <v>0.0</v>
      </c>
      <c r="L45" s="25">
        <v>0.0</v>
      </c>
      <c r="M45" s="23">
        <f t="shared" ref="M45:M48" si="22">H45+I45+J45+SUM(D421:D460)+K45+L45</f>
        <v>4828804.333</v>
      </c>
      <c r="N45" s="21">
        <v>1125000.0</v>
      </c>
      <c r="O45" s="12">
        <f t="shared" si="7"/>
        <v>166666.6667</v>
      </c>
      <c r="P45" s="21">
        <v>400000.0</v>
      </c>
      <c r="Q45" s="25">
        <v>0.0</v>
      </c>
      <c r="R45" s="25">
        <v>0.0</v>
      </c>
      <c r="S45" s="12">
        <f t="shared" si="16"/>
        <v>1691666.667</v>
      </c>
      <c r="T45" s="12">
        <f t="shared" si="5"/>
        <v>3137137.667</v>
      </c>
      <c r="U45" s="12">
        <f t="shared" si="8"/>
        <v>1568568.833</v>
      </c>
      <c r="V45" s="12">
        <f t="shared" si="19"/>
        <v>130938</v>
      </c>
      <c r="W45" s="22">
        <f t="shared" si="4"/>
        <v>1437630.833</v>
      </c>
      <c r="X45" s="29"/>
    </row>
    <row r="46">
      <c r="A46" s="19">
        <v>44242.0</v>
      </c>
      <c r="B46" s="11" t="s">
        <v>30</v>
      </c>
      <c r="C46" s="11" t="s">
        <v>36</v>
      </c>
      <c r="D46" s="12">
        <v>157800.0</v>
      </c>
      <c r="E46" s="11"/>
      <c r="F46" s="20">
        <v>2024.0</v>
      </c>
      <c r="G46" s="20" t="s">
        <v>48</v>
      </c>
      <c r="H46" s="25">
        <v>0.0</v>
      </c>
      <c r="I46" s="23">
        <f t="shared" si="11"/>
        <v>47766.33333</v>
      </c>
      <c r="J46" s="21">
        <v>760000.0</v>
      </c>
      <c r="K46" s="25">
        <v>0.0</v>
      </c>
      <c r="L46" s="25">
        <v>0.0</v>
      </c>
      <c r="M46" s="23">
        <f t="shared" si="22"/>
        <v>4883424.333</v>
      </c>
      <c r="N46" s="21">
        <v>1125000.0</v>
      </c>
      <c r="O46" s="12">
        <f t="shared" si="7"/>
        <v>166666.6667</v>
      </c>
      <c r="P46" s="21">
        <v>400000.0</v>
      </c>
      <c r="Q46" s="25">
        <v>0.0</v>
      </c>
      <c r="R46" s="25">
        <v>0.0</v>
      </c>
      <c r="S46" s="12">
        <f t="shared" si="16"/>
        <v>1691666.667</v>
      </c>
      <c r="T46" s="12">
        <f t="shared" si="5"/>
        <v>3191757.667</v>
      </c>
      <c r="U46" s="12">
        <f t="shared" si="8"/>
        <v>1595878.833</v>
      </c>
      <c r="V46" s="12">
        <f t="shared" si="19"/>
        <v>130938</v>
      </c>
      <c r="W46" s="22">
        <f t="shared" si="4"/>
        <v>1464940.833</v>
      </c>
      <c r="X46" s="29"/>
    </row>
    <row r="47">
      <c r="A47" s="19">
        <v>44243.0</v>
      </c>
      <c r="B47" s="11" t="s">
        <v>64</v>
      </c>
      <c r="C47" s="11" t="s">
        <v>78</v>
      </c>
      <c r="D47" s="12">
        <v>65000.0</v>
      </c>
      <c r="E47" s="11"/>
      <c r="F47" s="20">
        <v>2024.0</v>
      </c>
      <c r="G47" s="11" t="s">
        <v>49</v>
      </c>
      <c r="H47" s="25">
        <v>0.0</v>
      </c>
      <c r="I47" s="23">
        <f t="shared" si="11"/>
        <v>47766.33333</v>
      </c>
      <c r="J47" s="21">
        <v>760000.0</v>
      </c>
      <c r="K47" s="25">
        <v>0.0</v>
      </c>
      <c r="L47" s="25">
        <v>0.0</v>
      </c>
      <c r="M47" s="23">
        <f t="shared" si="22"/>
        <v>5147680.333</v>
      </c>
      <c r="N47" s="21">
        <v>1125000.0</v>
      </c>
      <c r="O47" s="12">
        <f t="shared" si="7"/>
        <v>166666.6667</v>
      </c>
      <c r="P47" s="21">
        <v>400000.0</v>
      </c>
      <c r="Q47" s="25">
        <v>0.0</v>
      </c>
      <c r="R47" s="25">
        <v>0.0</v>
      </c>
      <c r="S47" s="12">
        <f t="shared" si="16"/>
        <v>1691666.667</v>
      </c>
      <c r="T47" s="12">
        <f t="shared" si="5"/>
        <v>3456013.667</v>
      </c>
      <c r="U47" s="12">
        <f t="shared" si="8"/>
        <v>1728006.833</v>
      </c>
      <c r="V47" s="12">
        <f t="shared" si="19"/>
        <v>130938</v>
      </c>
      <c r="W47" s="22">
        <f t="shared" si="4"/>
        <v>1597068.833</v>
      </c>
      <c r="X47" s="29"/>
    </row>
    <row r="48">
      <c r="A48" s="19">
        <v>44247.0</v>
      </c>
      <c r="B48" s="11" t="s">
        <v>30</v>
      </c>
      <c r="C48" s="11" t="s">
        <v>79</v>
      </c>
      <c r="D48" s="12">
        <v>301800.0</v>
      </c>
      <c r="E48" s="11"/>
      <c r="F48" s="20">
        <v>2024.0</v>
      </c>
      <c r="G48" s="20" t="s">
        <v>51</v>
      </c>
      <c r="H48" s="25">
        <v>0.0</v>
      </c>
      <c r="I48" s="23">
        <f t="shared" si="11"/>
        <v>47766.33333</v>
      </c>
      <c r="J48" s="21">
        <v>760000.0</v>
      </c>
      <c r="K48" s="25">
        <v>0.0</v>
      </c>
      <c r="L48" s="25">
        <v>0.0</v>
      </c>
      <c r="M48" s="23">
        <f t="shared" si="22"/>
        <v>5140817.333</v>
      </c>
      <c r="N48" s="21">
        <v>1125000.0</v>
      </c>
      <c r="O48" s="12">
        <f t="shared" si="7"/>
        <v>166666.6667</v>
      </c>
      <c r="P48" s="21">
        <v>400000.0</v>
      </c>
      <c r="Q48" s="25">
        <v>0.0</v>
      </c>
      <c r="R48" s="25">
        <v>0.0</v>
      </c>
      <c r="S48" s="12">
        <f t="shared" si="16"/>
        <v>1691666.667</v>
      </c>
      <c r="T48" s="12">
        <f t="shared" si="5"/>
        <v>3449150.667</v>
      </c>
      <c r="U48" s="12">
        <f t="shared" si="8"/>
        <v>1724575.333</v>
      </c>
      <c r="V48" s="12">
        <f t="shared" si="19"/>
        <v>130938</v>
      </c>
      <c r="W48" s="22">
        <f t="shared" si="4"/>
        <v>1593637.333</v>
      </c>
      <c r="X48" s="29"/>
    </row>
    <row r="49">
      <c r="A49" s="19">
        <v>44249.0</v>
      </c>
      <c r="B49" s="11" t="s">
        <v>15</v>
      </c>
      <c r="C49" s="11" t="s">
        <v>16</v>
      </c>
      <c r="D49" s="12">
        <v>65649.0</v>
      </c>
      <c r="E49" s="11"/>
      <c r="F49" s="20">
        <v>2024.0</v>
      </c>
      <c r="G49" s="20" t="s">
        <v>53</v>
      </c>
      <c r="H49" s="25">
        <v>0.0</v>
      </c>
      <c r="I49" s="23">
        <f t="shared" si="11"/>
        <v>47766.33333</v>
      </c>
      <c r="J49" s="21">
        <v>760000.0</v>
      </c>
      <c r="K49" s="25">
        <v>0.0</v>
      </c>
      <c r="L49" s="25">
        <v>0.0</v>
      </c>
      <c r="M49" s="23">
        <f t="shared" ref="M49:M51" si="23">H49+I49+J49+SUM(D425:D466)+K49+L49</f>
        <v>5394143.333</v>
      </c>
      <c r="N49" s="21">
        <v>1125000.0</v>
      </c>
      <c r="O49" s="12">
        <f t="shared" si="7"/>
        <v>166666.6667</v>
      </c>
      <c r="P49" s="21">
        <v>400000.0</v>
      </c>
      <c r="Q49" s="25">
        <v>0.0</v>
      </c>
      <c r="R49" s="25">
        <v>0.0</v>
      </c>
      <c r="S49" s="12">
        <f t="shared" si="16"/>
        <v>1691666.667</v>
      </c>
      <c r="T49" s="12">
        <f t="shared" si="5"/>
        <v>3702476.667</v>
      </c>
      <c r="U49" s="12">
        <f t="shared" si="8"/>
        <v>1851238.333</v>
      </c>
      <c r="V49" s="12">
        <f t="shared" si="19"/>
        <v>130938</v>
      </c>
      <c r="W49" s="22">
        <f t="shared" si="4"/>
        <v>1720300.333</v>
      </c>
      <c r="X49" s="29"/>
    </row>
    <row r="50">
      <c r="A50" s="19">
        <v>44253.0</v>
      </c>
      <c r="B50" s="11" t="s">
        <v>30</v>
      </c>
      <c r="C50" s="11" t="s">
        <v>41</v>
      </c>
      <c r="D50" s="12">
        <v>50351.0</v>
      </c>
      <c r="E50" s="11"/>
      <c r="F50" s="20">
        <v>2024.0</v>
      </c>
      <c r="G50" s="11" t="s">
        <v>55</v>
      </c>
      <c r="H50" s="25">
        <v>0.0</v>
      </c>
      <c r="I50" s="23">
        <f t="shared" si="11"/>
        <v>47766.33333</v>
      </c>
      <c r="J50" s="21">
        <v>760000.0</v>
      </c>
      <c r="K50" s="25">
        <v>0.0</v>
      </c>
      <c r="L50" s="25">
        <v>0.0</v>
      </c>
      <c r="M50" s="23">
        <f t="shared" si="23"/>
        <v>5382043.333</v>
      </c>
      <c r="N50" s="21">
        <v>1125000.0</v>
      </c>
      <c r="O50" s="12">
        <f t="shared" si="7"/>
        <v>166666.6667</v>
      </c>
      <c r="P50" s="21">
        <v>400000.0</v>
      </c>
      <c r="Q50" s="25">
        <v>0.0</v>
      </c>
      <c r="R50" s="25">
        <v>0.0</v>
      </c>
      <c r="S50" s="12">
        <f t="shared" si="16"/>
        <v>1691666.667</v>
      </c>
      <c r="T50" s="12">
        <f t="shared" si="5"/>
        <v>3690376.667</v>
      </c>
      <c r="U50" s="12">
        <f t="shared" si="8"/>
        <v>1845188.333</v>
      </c>
      <c r="V50" s="12">
        <f t="shared" si="19"/>
        <v>130938</v>
      </c>
      <c r="W50" s="22">
        <f t="shared" si="4"/>
        <v>1714250.333</v>
      </c>
      <c r="X50" s="29"/>
    </row>
    <row r="51">
      <c r="A51" s="19">
        <v>44253.0</v>
      </c>
      <c r="B51" s="11" t="s">
        <v>30</v>
      </c>
      <c r="C51" s="11" t="s">
        <v>80</v>
      </c>
      <c r="D51" s="12">
        <v>50361.0</v>
      </c>
      <c r="E51" s="11"/>
      <c r="F51" s="20">
        <v>2024.0</v>
      </c>
      <c r="G51" s="20" t="s">
        <v>56</v>
      </c>
      <c r="H51" s="25">
        <v>0.0</v>
      </c>
      <c r="I51" s="23">
        <f t="shared" si="11"/>
        <v>47766.33333</v>
      </c>
      <c r="J51" s="21">
        <v>760000.0</v>
      </c>
      <c r="K51" s="25">
        <v>0.0</v>
      </c>
      <c r="L51" s="25">
        <v>0.0</v>
      </c>
      <c r="M51" s="23">
        <f t="shared" si="23"/>
        <v>5375243.333</v>
      </c>
      <c r="N51" s="21">
        <v>1125000.0</v>
      </c>
      <c r="O51" s="12">
        <f t="shared" si="7"/>
        <v>166666.6667</v>
      </c>
      <c r="P51" s="21">
        <v>400000.0</v>
      </c>
      <c r="Q51" s="25">
        <v>0.0</v>
      </c>
      <c r="R51" s="25">
        <v>0.0</v>
      </c>
      <c r="S51" s="12">
        <f t="shared" si="16"/>
        <v>1691666.667</v>
      </c>
      <c r="T51" s="12">
        <f t="shared" si="5"/>
        <v>3683576.667</v>
      </c>
      <c r="U51" s="12">
        <f t="shared" si="8"/>
        <v>1841788.333</v>
      </c>
      <c r="V51" s="12">
        <f t="shared" si="19"/>
        <v>130938</v>
      </c>
      <c r="W51" s="22">
        <f t="shared" si="4"/>
        <v>1710850.333</v>
      </c>
      <c r="X51" s="29"/>
    </row>
    <row r="52">
      <c r="A52" s="19">
        <v>44253.0</v>
      </c>
      <c r="B52" s="11" t="s">
        <v>30</v>
      </c>
      <c r="C52" s="11" t="s">
        <v>80</v>
      </c>
      <c r="D52" s="12">
        <v>157800.0</v>
      </c>
      <c r="E52" s="11"/>
      <c r="F52" s="20">
        <v>2025.0</v>
      </c>
      <c r="G52" s="20" t="s">
        <v>57</v>
      </c>
      <c r="H52" s="25">
        <v>0.0</v>
      </c>
      <c r="I52" s="25">
        <v>0.0</v>
      </c>
      <c r="J52" s="21">
        <v>760000.0</v>
      </c>
      <c r="K52" s="25">
        <v>0.0</v>
      </c>
      <c r="L52" s="25">
        <v>0.0</v>
      </c>
      <c r="M52" s="23">
        <f>H52+I52+J52+SUM(D428:D470)+K52+L52</f>
        <v>5333168</v>
      </c>
      <c r="N52" s="21">
        <v>1125000.0</v>
      </c>
      <c r="O52" s="12">
        <f t="shared" si="7"/>
        <v>166666.6667</v>
      </c>
      <c r="P52" s="21">
        <v>400000.0</v>
      </c>
      <c r="Q52" s="25">
        <v>0.0</v>
      </c>
      <c r="R52" s="25">
        <v>0.0</v>
      </c>
      <c r="S52" s="12">
        <f t="shared" si="16"/>
        <v>1691666.667</v>
      </c>
      <c r="T52" s="12">
        <f t="shared" si="5"/>
        <v>3641501.333</v>
      </c>
      <c r="U52" s="12">
        <f t="shared" si="8"/>
        <v>1820750.667</v>
      </c>
      <c r="V52" s="12">
        <f t="shared" si="19"/>
        <v>130938</v>
      </c>
      <c r="W52" s="22">
        <f t="shared" si="4"/>
        <v>1689812.667</v>
      </c>
      <c r="X52" s="29"/>
    </row>
    <row r="53">
      <c r="A53" s="19">
        <v>44254.0</v>
      </c>
      <c r="B53" s="11" t="s">
        <v>15</v>
      </c>
      <c r="C53" s="11" t="s">
        <v>16</v>
      </c>
      <c r="D53" s="12">
        <v>50044.0</v>
      </c>
      <c r="E53" s="11"/>
      <c r="F53" s="20">
        <v>2025.0</v>
      </c>
      <c r="G53" s="20" t="s">
        <v>58</v>
      </c>
      <c r="H53" s="25">
        <v>0.0</v>
      </c>
      <c r="I53" s="25">
        <v>0.0</v>
      </c>
      <c r="J53" s="21">
        <v>760000.0</v>
      </c>
      <c r="K53" s="25">
        <v>0.0</v>
      </c>
      <c r="L53" s="25">
        <v>0.0</v>
      </c>
      <c r="M53" s="23">
        <f t="shared" ref="M53:M55" si="24">H53+I53+J53+SUM(D429:D472)+K53+L53</f>
        <v>5681878</v>
      </c>
      <c r="N53" s="21">
        <v>1125000.0</v>
      </c>
      <c r="O53" s="12">
        <f t="shared" si="7"/>
        <v>166666.6667</v>
      </c>
      <c r="P53" s="21">
        <v>400000.0</v>
      </c>
      <c r="Q53" s="25">
        <v>0.0</v>
      </c>
      <c r="R53" s="25">
        <v>0.0</v>
      </c>
      <c r="S53" s="12">
        <f t="shared" si="16"/>
        <v>1691666.667</v>
      </c>
      <c r="T53" s="12">
        <f t="shared" si="5"/>
        <v>3990211.333</v>
      </c>
      <c r="U53" s="12">
        <f t="shared" si="8"/>
        <v>1995105.667</v>
      </c>
      <c r="V53" s="12">
        <f t="shared" si="19"/>
        <v>130938</v>
      </c>
      <c r="W53" s="22">
        <f t="shared" si="4"/>
        <v>1864167.667</v>
      </c>
      <c r="X53" s="29"/>
    </row>
    <row r="54">
      <c r="A54" s="19">
        <v>44254.0</v>
      </c>
      <c r="B54" s="20" t="s">
        <v>26</v>
      </c>
      <c r="C54" s="11" t="s">
        <v>81</v>
      </c>
      <c r="D54" s="12">
        <v>47700.0</v>
      </c>
      <c r="E54" s="11"/>
      <c r="F54" s="20">
        <v>2025.0</v>
      </c>
      <c r="G54" s="11" t="s">
        <v>59</v>
      </c>
      <c r="H54" s="25">
        <v>0.0</v>
      </c>
      <c r="I54" s="25">
        <v>0.0</v>
      </c>
      <c r="J54" s="21">
        <v>760000.0</v>
      </c>
      <c r="K54" s="25">
        <v>0.0</v>
      </c>
      <c r="L54" s="25">
        <v>0.0</v>
      </c>
      <c r="M54" s="23">
        <f t="shared" si="24"/>
        <v>5632728</v>
      </c>
      <c r="N54" s="21">
        <v>1125000.0</v>
      </c>
      <c r="O54" s="12">
        <f t="shared" si="7"/>
        <v>166666.6667</v>
      </c>
      <c r="P54" s="21">
        <v>400000.0</v>
      </c>
      <c r="Q54" s="25">
        <v>0.0</v>
      </c>
      <c r="R54" s="25">
        <v>0.0</v>
      </c>
      <c r="S54" s="12">
        <f t="shared" si="16"/>
        <v>1691666.667</v>
      </c>
      <c r="T54" s="12">
        <f t="shared" si="5"/>
        <v>3941061.333</v>
      </c>
      <c r="U54" s="12">
        <f t="shared" si="8"/>
        <v>1970530.667</v>
      </c>
      <c r="V54" s="12">
        <f t="shared" si="19"/>
        <v>130938</v>
      </c>
      <c r="W54" s="22">
        <f t="shared" si="4"/>
        <v>1839592.667</v>
      </c>
      <c r="X54" s="29"/>
    </row>
    <row r="55">
      <c r="A55" s="10">
        <v>44257.0</v>
      </c>
      <c r="B55" s="11" t="s">
        <v>64</v>
      </c>
      <c r="C55" s="11" t="s">
        <v>78</v>
      </c>
      <c r="D55" s="12">
        <v>65000.0</v>
      </c>
      <c r="F55" s="20">
        <v>2025.0</v>
      </c>
      <c r="G55" s="20" t="s">
        <v>62</v>
      </c>
      <c r="H55" s="25">
        <v>0.0</v>
      </c>
      <c r="I55" s="25">
        <v>0.0</v>
      </c>
      <c r="J55" s="21">
        <v>760000.0</v>
      </c>
      <c r="K55" s="25">
        <v>0.0</v>
      </c>
      <c r="L55" s="25">
        <v>0.0</v>
      </c>
      <c r="M55" s="23">
        <f t="shared" si="24"/>
        <v>5644172</v>
      </c>
      <c r="N55" s="21">
        <v>1125000.0</v>
      </c>
      <c r="O55" s="12">
        <f t="shared" si="7"/>
        <v>166666.6667</v>
      </c>
      <c r="P55" s="21">
        <v>400000.0</v>
      </c>
      <c r="Q55" s="25">
        <v>0.0</v>
      </c>
      <c r="R55" s="25">
        <v>0.0</v>
      </c>
      <c r="S55" s="12">
        <f t="shared" si="16"/>
        <v>1691666.667</v>
      </c>
      <c r="T55" s="12">
        <f t="shared" si="5"/>
        <v>3952505.333</v>
      </c>
      <c r="U55" s="12">
        <f t="shared" si="8"/>
        <v>1976252.667</v>
      </c>
      <c r="V55" s="12">
        <f t="shared" si="19"/>
        <v>130938</v>
      </c>
      <c r="W55" s="22">
        <f t="shared" si="4"/>
        <v>1845314.667</v>
      </c>
      <c r="X55" s="29"/>
    </row>
    <row r="56">
      <c r="A56" s="10">
        <v>44259.0</v>
      </c>
      <c r="B56" s="20" t="s">
        <v>64</v>
      </c>
      <c r="C56" s="20" t="s">
        <v>76</v>
      </c>
      <c r="D56" s="21">
        <v>184472.0</v>
      </c>
      <c r="F56" s="20">
        <v>2025.0</v>
      </c>
      <c r="G56" s="20" t="s">
        <v>44</v>
      </c>
      <c r="H56" s="25">
        <v>0.0</v>
      </c>
      <c r="I56" s="25">
        <v>0.0</v>
      </c>
      <c r="J56" s="21">
        <v>760000.0</v>
      </c>
      <c r="K56" s="25">
        <v>0.0</v>
      </c>
      <c r="L56" s="25">
        <v>0.0</v>
      </c>
      <c r="M56" s="23">
        <f>H56+I56+J56+SUM(D432:D474)+K56+L56</f>
        <v>5574172</v>
      </c>
      <c r="N56" s="21">
        <v>1125000.0</v>
      </c>
      <c r="O56" s="12">
        <f t="shared" si="7"/>
        <v>166666.6667</v>
      </c>
      <c r="P56" s="21">
        <v>400000.0</v>
      </c>
      <c r="Q56" s="25">
        <v>0.0</v>
      </c>
      <c r="R56" s="25">
        <v>0.0</v>
      </c>
      <c r="S56" s="12">
        <f t="shared" si="16"/>
        <v>1691666.667</v>
      </c>
      <c r="T56" s="12">
        <f t="shared" si="5"/>
        <v>3882505.333</v>
      </c>
      <c r="U56" s="12">
        <f t="shared" si="8"/>
        <v>1941252.667</v>
      </c>
      <c r="V56" s="12">
        <f t="shared" si="19"/>
        <v>130938</v>
      </c>
      <c r="W56" s="22">
        <f t="shared" si="4"/>
        <v>1810314.667</v>
      </c>
      <c r="X56" s="29"/>
    </row>
    <row r="57">
      <c r="A57" s="10">
        <v>44260.0</v>
      </c>
      <c r="B57" s="11" t="s">
        <v>15</v>
      </c>
      <c r="C57" s="11" t="s">
        <v>16</v>
      </c>
      <c r="D57" s="21">
        <v>70642.0</v>
      </c>
      <c r="F57" s="20">
        <v>2025.0</v>
      </c>
      <c r="G57" s="11" t="s">
        <v>47</v>
      </c>
      <c r="H57" s="25">
        <v>0.0</v>
      </c>
      <c r="I57" s="25">
        <v>0.0</v>
      </c>
      <c r="J57" s="21">
        <v>760000.0</v>
      </c>
      <c r="K57" s="25">
        <v>0.0</v>
      </c>
      <c r="L57" s="25">
        <v>0.0</v>
      </c>
      <c r="M57" s="23">
        <f t="shared" ref="M57:M59" si="25">H57+I57+J57+SUM(D433:D476)+K57+L57</f>
        <v>5831612</v>
      </c>
      <c r="N57" s="21">
        <v>1125000.0</v>
      </c>
      <c r="O57" s="12">
        <f t="shared" si="7"/>
        <v>166666.6667</v>
      </c>
      <c r="P57" s="21">
        <v>400000.0</v>
      </c>
      <c r="Q57" s="25">
        <v>0.0</v>
      </c>
      <c r="R57" s="25">
        <v>0.0</v>
      </c>
      <c r="S57" s="12">
        <f t="shared" si="16"/>
        <v>1691666.667</v>
      </c>
      <c r="T57" s="12">
        <f t="shared" si="5"/>
        <v>4139945.333</v>
      </c>
      <c r="U57" s="12">
        <f t="shared" si="8"/>
        <v>2069972.667</v>
      </c>
      <c r="V57" s="12">
        <f t="shared" si="19"/>
        <v>130938</v>
      </c>
      <c r="W57" s="22">
        <f t="shared" si="4"/>
        <v>1939034.667</v>
      </c>
      <c r="X57" s="29"/>
    </row>
    <row r="58">
      <c r="A58" s="10">
        <v>44264.0</v>
      </c>
      <c r="B58" s="11" t="s">
        <v>15</v>
      </c>
      <c r="C58" s="11" t="s">
        <v>26</v>
      </c>
      <c r="D58" s="12">
        <v>200000.0</v>
      </c>
      <c r="E58" s="11"/>
      <c r="F58" s="20">
        <v>2025.0</v>
      </c>
      <c r="G58" s="20" t="s">
        <v>48</v>
      </c>
      <c r="H58" s="25">
        <v>0.0</v>
      </c>
      <c r="I58" s="25">
        <v>0.0</v>
      </c>
      <c r="J58" s="21">
        <v>760000.0</v>
      </c>
      <c r="K58" s="25">
        <v>0.0</v>
      </c>
      <c r="L58" s="25">
        <v>0.0</v>
      </c>
      <c r="M58" s="23">
        <f t="shared" si="25"/>
        <v>6370853</v>
      </c>
      <c r="N58" s="21">
        <v>1125000.0</v>
      </c>
      <c r="O58" s="12">
        <f t="shared" si="7"/>
        <v>166666.6667</v>
      </c>
      <c r="P58" s="21">
        <v>400000.0</v>
      </c>
      <c r="Q58" s="25">
        <v>0.0</v>
      </c>
      <c r="R58" s="25">
        <v>0.0</v>
      </c>
      <c r="S58" s="12">
        <f t="shared" si="16"/>
        <v>1691666.667</v>
      </c>
      <c r="T58" s="12">
        <f t="shared" si="5"/>
        <v>4679186.333</v>
      </c>
      <c r="U58" s="12">
        <f t="shared" si="8"/>
        <v>2339593.167</v>
      </c>
      <c r="V58" s="12">
        <f t="shared" si="19"/>
        <v>130938</v>
      </c>
      <c r="W58" s="22">
        <f t="shared" si="4"/>
        <v>2208655.167</v>
      </c>
      <c r="X58" s="29"/>
    </row>
    <row r="59">
      <c r="A59" s="10">
        <v>44272.0</v>
      </c>
      <c r="B59" s="11" t="s">
        <v>64</v>
      </c>
      <c r="C59" s="11" t="s">
        <v>78</v>
      </c>
      <c r="D59" s="12">
        <v>65000.0</v>
      </c>
      <c r="F59" s="20">
        <v>2025.0</v>
      </c>
      <c r="G59" s="11" t="s">
        <v>49</v>
      </c>
      <c r="H59" s="25">
        <v>0.0</v>
      </c>
      <c r="I59" s="25">
        <v>0.0</v>
      </c>
      <c r="J59" s="21">
        <v>760000.0</v>
      </c>
      <c r="K59" s="25">
        <v>0.0</v>
      </c>
      <c r="L59" s="25">
        <v>0.0</v>
      </c>
      <c r="M59" s="23">
        <f t="shared" si="25"/>
        <v>6405368</v>
      </c>
      <c r="N59" s="21">
        <v>1125000.0</v>
      </c>
      <c r="O59" s="12">
        <f t="shared" si="7"/>
        <v>166666.6667</v>
      </c>
      <c r="P59" s="21">
        <v>400000.0</v>
      </c>
      <c r="Q59" s="25">
        <v>0.0</v>
      </c>
      <c r="R59" s="25">
        <v>0.0</v>
      </c>
      <c r="S59" s="12">
        <f t="shared" si="16"/>
        <v>1691666.667</v>
      </c>
      <c r="T59" s="12">
        <f t="shared" si="5"/>
        <v>4713701.333</v>
      </c>
      <c r="U59" s="12">
        <f t="shared" si="8"/>
        <v>2356850.667</v>
      </c>
      <c r="V59" s="12">
        <f t="shared" si="19"/>
        <v>130938</v>
      </c>
      <c r="W59" s="22">
        <f t="shared" si="4"/>
        <v>2225912.667</v>
      </c>
      <c r="X59" s="29"/>
    </row>
    <row r="60">
      <c r="A60" s="10">
        <v>44265.0</v>
      </c>
      <c r="B60" s="11" t="s">
        <v>64</v>
      </c>
      <c r="C60" s="11" t="s">
        <v>65</v>
      </c>
      <c r="D60" s="21">
        <v>67074.0</v>
      </c>
      <c r="F60" s="20">
        <v>2025.0</v>
      </c>
      <c r="G60" s="20" t="s">
        <v>51</v>
      </c>
      <c r="H60" s="25">
        <v>0.0</v>
      </c>
      <c r="I60" s="25">
        <v>0.0</v>
      </c>
      <c r="J60" s="21">
        <v>760000.0</v>
      </c>
      <c r="K60" s="25">
        <v>0.0</v>
      </c>
      <c r="L60" s="25">
        <v>0.0</v>
      </c>
      <c r="M60" s="23">
        <f>H60+I60+J60+SUM(D437:D479)+K60+L60</f>
        <v>6270557</v>
      </c>
      <c r="N60" s="21">
        <v>1125000.0</v>
      </c>
      <c r="O60" s="12">
        <f t="shared" si="7"/>
        <v>166666.6667</v>
      </c>
      <c r="P60" s="21">
        <v>400000.0</v>
      </c>
      <c r="Q60" s="25">
        <v>0.0</v>
      </c>
      <c r="R60" s="25">
        <v>0.0</v>
      </c>
      <c r="S60" s="12">
        <f t="shared" si="16"/>
        <v>1691666.667</v>
      </c>
      <c r="T60" s="12">
        <f t="shared" si="5"/>
        <v>4578890.333</v>
      </c>
      <c r="U60" s="12">
        <f t="shared" si="8"/>
        <v>2289445.167</v>
      </c>
      <c r="V60" s="12">
        <f t="shared" si="19"/>
        <v>130938</v>
      </c>
      <c r="W60" s="22">
        <f t="shared" si="4"/>
        <v>2158507.167</v>
      </c>
      <c r="X60" s="29"/>
    </row>
    <row r="61">
      <c r="A61" s="10">
        <v>44265.0</v>
      </c>
      <c r="B61" s="11" t="s">
        <v>30</v>
      </c>
      <c r="C61" s="20" t="s">
        <v>82</v>
      </c>
      <c r="D61" s="21">
        <v>176054.7</v>
      </c>
      <c r="F61" s="20">
        <v>2025.0</v>
      </c>
      <c r="G61" s="20" t="s">
        <v>53</v>
      </c>
      <c r="H61" s="25">
        <v>0.0</v>
      </c>
      <c r="I61" s="25">
        <v>0.0</v>
      </c>
      <c r="J61" s="21">
        <v>760000.0</v>
      </c>
      <c r="K61" s="25">
        <v>0.0</v>
      </c>
      <c r="L61" s="25">
        <v>0.0</v>
      </c>
      <c r="M61" s="23">
        <f>H61+I61+J61+SUM(D440:D481)+K61+L61</f>
        <v>6201012</v>
      </c>
      <c r="N61" s="21">
        <v>1125000.0</v>
      </c>
      <c r="O61" s="12">
        <f t="shared" si="7"/>
        <v>166666.6667</v>
      </c>
      <c r="P61" s="21">
        <v>400000.0</v>
      </c>
      <c r="Q61" s="25">
        <v>0.0</v>
      </c>
      <c r="R61" s="25">
        <v>0.0</v>
      </c>
      <c r="S61" s="12">
        <f t="shared" si="16"/>
        <v>1691666.667</v>
      </c>
      <c r="T61" s="12">
        <f t="shared" si="5"/>
        <v>4509345.333</v>
      </c>
      <c r="U61" s="12">
        <f t="shared" si="8"/>
        <v>2254672.667</v>
      </c>
      <c r="V61" s="12">
        <f t="shared" si="19"/>
        <v>130938</v>
      </c>
      <c r="W61" s="22">
        <f t="shared" si="4"/>
        <v>2123734.667</v>
      </c>
      <c r="X61" s="29"/>
    </row>
    <row r="62">
      <c r="A62" s="10">
        <v>44265.0</v>
      </c>
      <c r="B62" s="11" t="s">
        <v>30</v>
      </c>
      <c r="C62" s="11" t="s">
        <v>36</v>
      </c>
      <c r="D62" s="21">
        <v>133890.0</v>
      </c>
      <c r="F62" s="20">
        <v>2025.0</v>
      </c>
      <c r="G62" s="11" t="s">
        <v>55</v>
      </c>
      <c r="H62" s="25">
        <v>0.0</v>
      </c>
      <c r="I62" s="25">
        <v>0.0</v>
      </c>
      <c r="J62" s="21">
        <v>760000.0</v>
      </c>
      <c r="K62" s="25">
        <v>0.0</v>
      </c>
      <c r="L62" s="25">
        <v>0.0</v>
      </c>
      <c r="M62" s="23">
        <f>H62+I62+J62+SUM(D442:D482)+K62+L62</f>
        <v>6142435</v>
      </c>
      <c r="N62" s="21">
        <v>1125000.0</v>
      </c>
      <c r="O62" s="12">
        <f t="shared" si="7"/>
        <v>166666.6667</v>
      </c>
      <c r="P62" s="21">
        <v>400000.0</v>
      </c>
      <c r="Q62" s="25">
        <v>0.0</v>
      </c>
      <c r="R62" s="25">
        <v>0.0</v>
      </c>
      <c r="S62" s="12">
        <f t="shared" si="16"/>
        <v>1691666.667</v>
      </c>
      <c r="T62" s="12">
        <f t="shared" si="5"/>
        <v>4450768.333</v>
      </c>
      <c r="U62" s="12">
        <f t="shared" si="8"/>
        <v>2225384.167</v>
      </c>
      <c r="V62" s="12">
        <f t="shared" si="19"/>
        <v>130938</v>
      </c>
      <c r="W62" s="22">
        <f t="shared" si="4"/>
        <v>2094446.167</v>
      </c>
      <c r="X62" s="29"/>
    </row>
    <row r="63">
      <c r="A63" s="10">
        <v>44265.0</v>
      </c>
      <c r="B63" s="11" t="s">
        <v>30</v>
      </c>
      <c r="C63" s="20" t="s">
        <v>83</v>
      </c>
      <c r="D63" s="21">
        <v>58200.0</v>
      </c>
      <c r="F63" s="20">
        <v>2025.0</v>
      </c>
      <c r="G63" s="20" t="s">
        <v>56</v>
      </c>
      <c r="H63" s="25">
        <v>0.0</v>
      </c>
      <c r="I63" s="25">
        <v>0.0</v>
      </c>
      <c r="J63" s="21">
        <v>760000.0</v>
      </c>
      <c r="K63" s="25">
        <v>0.0</v>
      </c>
      <c r="L63" s="25">
        <v>0.0</v>
      </c>
      <c r="M63" s="23">
        <f>H63+I63+J63+SUM(D445:D482)+K63+L63</f>
        <v>5731883</v>
      </c>
      <c r="N63" s="21">
        <v>1125000.0</v>
      </c>
      <c r="O63" s="12">
        <f t="shared" si="7"/>
        <v>166666.6667</v>
      </c>
      <c r="P63" s="21">
        <v>400000.0</v>
      </c>
      <c r="Q63" s="25">
        <v>0.0</v>
      </c>
      <c r="R63" s="25">
        <v>0.0</v>
      </c>
      <c r="S63" s="12">
        <f t="shared" si="16"/>
        <v>1691666.667</v>
      </c>
      <c r="T63" s="12">
        <f t="shared" si="5"/>
        <v>4040216.333</v>
      </c>
      <c r="U63" s="12">
        <f t="shared" si="8"/>
        <v>2020108.167</v>
      </c>
      <c r="V63" s="12">
        <f t="shared" si="19"/>
        <v>130938</v>
      </c>
      <c r="W63" s="22">
        <f t="shared" si="4"/>
        <v>1889170.167</v>
      </c>
      <c r="X63" s="29"/>
    </row>
    <row r="64">
      <c r="A64" s="10">
        <v>44266.0</v>
      </c>
      <c r="B64" s="11" t="s">
        <v>30</v>
      </c>
      <c r="C64" s="20" t="s">
        <v>50</v>
      </c>
      <c r="D64" s="21">
        <v>80000.0</v>
      </c>
      <c r="F64" s="17">
        <v>2026.0</v>
      </c>
      <c r="G64" s="20" t="s">
        <v>57</v>
      </c>
      <c r="H64" s="25">
        <v>0.0</v>
      </c>
      <c r="I64" s="25">
        <v>0.0</v>
      </c>
      <c r="J64" s="21">
        <v>760000.0</v>
      </c>
      <c r="K64" s="25">
        <v>0.0</v>
      </c>
      <c r="L64" s="25">
        <v>0.0</v>
      </c>
      <c r="M64" s="23">
        <f>H64+I64+J64+SUM(D449:D482)+K64+L64</f>
        <v>5365795</v>
      </c>
      <c r="N64" s="21">
        <v>1125000.0</v>
      </c>
      <c r="O64" s="12">
        <f t="shared" si="7"/>
        <v>166666.6667</v>
      </c>
      <c r="P64" s="21">
        <v>400000.0</v>
      </c>
      <c r="Q64" s="25">
        <v>0.0</v>
      </c>
      <c r="R64" s="25">
        <v>0.0</v>
      </c>
      <c r="S64" s="12">
        <f t="shared" si="16"/>
        <v>1691666.667</v>
      </c>
      <c r="T64" s="12">
        <f t="shared" si="5"/>
        <v>3674128.333</v>
      </c>
      <c r="U64" s="12">
        <f t="shared" si="8"/>
        <v>1837064.167</v>
      </c>
      <c r="V64" s="12">
        <f t="shared" si="19"/>
        <v>130938</v>
      </c>
      <c r="W64" s="22">
        <f t="shared" si="4"/>
        <v>1706126.167</v>
      </c>
      <c r="X64" s="29"/>
    </row>
    <row r="65">
      <c r="A65" s="10">
        <v>44266.0</v>
      </c>
      <c r="B65" s="11" t="s">
        <v>64</v>
      </c>
      <c r="C65" s="20" t="s">
        <v>68</v>
      </c>
      <c r="D65" s="21">
        <v>116555.0</v>
      </c>
      <c r="F65" s="17">
        <v>2026.0</v>
      </c>
      <c r="G65" s="20" t="s">
        <v>58</v>
      </c>
      <c r="H65" s="25">
        <v>0.0</v>
      </c>
      <c r="I65" s="25">
        <v>0.0</v>
      </c>
      <c r="J65" s="21">
        <v>760000.0</v>
      </c>
      <c r="K65" s="25">
        <v>0.0</v>
      </c>
      <c r="L65" s="25">
        <v>0.0</v>
      </c>
      <c r="M65" s="23">
        <f t="shared" ref="M65:M66" si="26">H65+I65+J65+SUM(D453:D483)+K65+L65</f>
        <v>5292390</v>
      </c>
      <c r="N65" s="21">
        <v>1125000.0</v>
      </c>
      <c r="O65" s="12">
        <f t="shared" si="7"/>
        <v>166666.6667</v>
      </c>
      <c r="P65" s="21">
        <v>400000.0</v>
      </c>
      <c r="Q65" s="25">
        <v>0.0</v>
      </c>
      <c r="R65" s="25">
        <v>0.0</v>
      </c>
      <c r="S65" s="12">
        <f t="shared" si="16"/>
        <v>1691666.667</v>
      </c>
      <c r="T65" s="12">
        <f t="shared" si="5"/>
        <v>3600723.333</v>
      </c>
      <c r="U65" s="12">
        <f t="shared" si="8"/>
        <v>1800361.667</v>
      </c>
      <c r="V65" s="12">
        <f t="shared" si="19"/>
        <v>130938</v>
      </c>
      <c r="W65" s="22">
        <f t="shared" si="4"/>
        <v>1669423.667</v>
      </c>
      <c r="X65" s="29"/>
    </row>
    <row r="66">
      <c r="A66" s="10">
        <v>44271.0</v>
      </c>
      <c r="B66" s="11" t="s">
        <v>15</v>
      </c>
      <c r="C66" s="11" t="s">
        <v>16</v>
      </c>
      <c r="D66" s="21">
        <v>61168.0</v>
      </c>
      <c r="F66" s="17">
        <v>2026.0</v>
      </c>
      <c r="G66" s="11" t="s">
        <v>59</v>
      </c>
      <c r="H66" s="25">
        <v>0.0</v>
      </c>
      <c r="I66" s="25">
        <v>0.0</v>
      </c>
      <c r="J66" s="21">
        <v>760000.0</v>
      </c>
      <c r="K66" s="25">
        <v>0.0</v>
      </c>
      <c r="L66" s="25">
        <v>0.0</v>
      </c>
      <c r="M66" s="23">
        <f t="shared" si="26"/>
        <v>5188549</v>
      </c>
      <c r="N66" s="21">
        <v>1125000.0</v>
      </c>
      <c r="O66" s="12">
        <f t="shared" si="7"/>
        <v>166666.6667</v>
      </c>
      <c r="P66" s="21">
        <v>400000.0</v>
      </c>
      <c r="Q66" s="25">
        <v>0.0</v>
      </c>
      <c r="R66" s="25">
        <v>0.0</v>
      </c>
      <c r="S66" s="12">
        <f t="shared" si="16"/>
        <v>1691666.667</v>
      </c>
      <c r="T66" s="12">
        <f t="shared" si="5"/>
        <v>3496882.333</v>
      </c>
      <c r="U66" s="12">
        <f t="shared" si="8"/>
        <v>1748441.167</v>
      </c>
      <c r="V66" s="12">
        <f t="shared" si="19"/>
        <v>130938</v>
      </c>
      <c r="W66" s="22">
        <f t="shared" si="4"/>
        <v>1617503.167</v>
      </c>
      <c r="X66" s="29"/>
    </row>
    <row r="67">
      <c r="A67" s="10">
        <v>44275.0</v>
      </c>
      <c r="B67" s="11" t="s">
        <v>30</v>
      </c>
      <c r="C67" s="20" t="s">
        <v>41</v>
      </c>
      <c r="D67" s="21">
        <v>43344.0</v>
      </c>
      <c r="F67" s="17">
        <v>2026.0</v>
      </c>
      <c r="G67" s="20" t="s">
        <v>62</v>
      </c>
      <c r="H67" s="25">
        <v>0.0</v>
      </c>
      <c r="I67" s="25">
        <v>0.0</v>
      </c>
      <c r="J67" s="21">
        <v>760000.0</v>
      </c>
      <c r="K67" s="25">
        <v>0.0</v>
      </c>
      <c r="L67" s="25">
        <v>0.0</v>
      </c>
      <c r="M67" s="23">
        <f>H67+I67+J67+SUM(D456:D487)+K67+L67</f>
        <v>5043779</v>
      </c>
      <c r="N67" s="21">
        <v>1125000.0</v>
      </c>
      <c r="O67" s="12">
        <f t="shared" si="7"/>
        <v>166666.6667</v>
      </c>
      <c r="P67" s="21">
        <v>400000.0</v>
      </c>
      <c r="Q67" s="25">
        <v>0.0</v>
      </c>
      <c r="R67" s="25">
        <v>0.0</v>
      </c>
      <c r="S67" s="12">
        <f t="shared" si="16"/>
        <v>1691666.667</v>
      </c>
      <c r="T67" s="12">
        <f t="shared" si="5"/>
        <v>3352112.333</v>
      </c>
      <c r="U67" s="12">
        <f t="shared" si="8"/>
        <v>1676056.167</v>
      </c>
      <c r="V67" s="12">
        <f t="shared" si="19"/>
        <v>130938</v>
      </c>
      <c r="W67" s="22">
        <f t="shared" si="4"/>
        <v>1545118.167</v>
      </c>
      <c r="X67" s="29"/>
    </row>
    <row r="68">
      <c r="A68" s="10">
        <v>44275.0</v>
      </c>
      <c r="B68" s="11" t="s">
        <v>30</v>
      </c>
      <c r="C68" s="20" t="s">
        <v>50</v>
      </c>
      <c r="D68" s="21">
        <v>21131.0</v>
      </c>
      <c r="F68" s="17">
        <v>2026.0</v>
      </c>
      <c r="G68" s="20" t="s">
        <v>44</v>
      </c>
      <c r="H68" s="25">
        <v>0.0</v>
      </c>
      <c r="I68" s="25">
        <v>0.0</v>
      </c>
      <c r="J68" s="21">
        <v>760000.0</v>
      </c>
      <c r="K68" s="25">
        <v>0.0</v>
      </c>
      <c r="L68" s="25">
        <v>0.0</v>
      </c>
      <c r="M68" s="23">
        <f>H68+I68+J68+SUM(D458:D490)+K68+L68</f>
        <v>5864511</v>
      </c>
      <c r="N68" s="21">
        <v>1125000.0</v>
      </c>
      <c r="O68" s="12">
        <f t="shared" si="7"/>
        <v>166666.6667</v>
      </c>
      <c r="P68" s="21">
        <v>400000.0</v>
      </c>
      <c r="Q68" s="25">
        <v>0.0</v>
      </c>
      <c r="R68" s="25">
        <v>0.0</v>
      </c>
      <c r="S68" s="12">
        <f t="shared" si="16"/>
        <v>1691666.667</v>
      </c>
      <c r="T68" s="12">
        <f t="shared" si="5"/>
        <v>4172844.333</v>
      </c>
      <c r="U68" s="12">
        <f t="shared" si="8"/>
        <v>2086422.167</v>
      </c>
      <c r="V68" s="12">
        <f t="shared" si="19"/>
        <v>130938</v>
      </c>
      <c r="W68" s="22">
        <f t="shared" si="4"/>
        <v>1955484.167</v>
      </c>
      <c r="X68" s="29"/>
    </row>
    <row r="69">
      <c r="A69" s="10">
        <v>44276.0</v>
      </c>
      <c r="B69" s="20" t="s">
        <v>26</v>
      </c>
      <c r="C69" s="20" t="s">
        <v>54</v>
      </c>
      <c r="D69" s="21">
        <v>221600.0</v>
      </c>
      <c r="F69" s="17">
        <v>2026.0</v>
      </c>
      <c r="G69" s="11" t="s">
        <v>47</v>
      </c>
      <c r="H69" s="25">
        <v>0.0</v>
      </c>
      <c r="I69" s="25">
        <v>0.0</v>
      </c>
      <c r="J69" s="21">
        <v>760000.0</v>
      </c>
      <c r="K69" s="25">
        <v>0.0</v>
      </c>
      <c r="L69" s="25">
        <v>0.0</v>
      </c>
      <c r="M69" s="23">
        <f t="shared" ref="M69:M71" si="27">H69+I69+J69+SUM(D460:D491)+K69+L69</f>
        <v>5846949</v>
      </c>
      <c r="N69" s="21">
        <v>1125000.0</v>
      </c>
      <c r="O69" s="12">
        <f t="shared" si="7"/>
        <v>166666.6667</v>
      </c>
      <c r="P69" s="21">
        <v>400000.0</v>
      </c>
      <c r="Q69" s="25">
        <v>0.0</v>
      </c>
      <c r="R69" s="25">
        <v>0.0</v>
      </c>
      <c r="S69" s="12">
        <f t="shared" si="16"/>
        <v>1691666.667</v>
      </c>
      <c r="T69" s="12">
        <f t="shared" si="5"/>
        <v>4155282.333</v>
      </c>
      <c r="U69" s="12">
        <f t="shared" si="8"/>
        <v>2077641.167</v>
      </c>
      <c r="V69" s="12">
        <f t="shared" si="19"/>
        <v>130938</v>
      </c>
      <c r="W69" s="22">
        <f t="shared" si="4"/>
        <v>1946703.167</v>
      </c>
      <c r="X69" s="29"/>
    </row>
    <row r="70">
      <c r="A70" s="10">
        <v>44276.0</v>
      </c>
      <c r="B70" s="20" t="s">
        <v>26</v>
      </c>
      <c r="C70" s="20" t="s">
        <v>84</v>
      </c>
      <c r="D70" s="21">
        <v>54300.0</v>
      </c>
      <c r="F70" s="17">
        <v>2026.0</v>
      </c>
      <c r="G70" s="20" t="s">
        <v>48</v>
      </c>
      <c r="H70" s="25">
        <v>0.0</v>
      </c>
      <c r="I70" s="25">
        <v>0.0</v>
      </c>
      <c r="J70" s="21">
        <v>760000.0</v>
      </c>
      <c r="K70" s="25">
        <v>0.0</v>
      </c>
      <c r="L70" s="25">
        <v>0.0</v>
      </c>
      <c r="M70" s="23">
        <f t="shared" si="27"/>
        <v>5870080</v>
      </c>
      <c r="N70" s="21">
        <v>1125000.0</v>
      </c>
      <c r="O70" s="12">
        <f t="shared" si="7"/>
        <v>166666.6667</v>
      </c>
      <c r="P70" s="21">
        <v>400000.0</v>
      </c>
      <c r="Q70" s="25">
        <v>0.0</v>
      </c>
      <c r="R70" s="25">
        <v>0.0</v>
      </c>
      <c r="S70" s="12">
        <f t="shared" si="16"/>
        <v>1691666.667</v>
      </c>
      <c r="T70" s="12">
        <f t="shared" si="5"/>
        <v>4178413.333</v>
      </c>
      <c r="U70" s="12">
        <f t="shared" si="8"/>
        <v>2089206.667</v>
      </c>
      <c r="V70" s="12">
        <f t="shared" si="19"/>
        <v>130938</v>
      </c>
      <c r="W70" s="22">
        <f t="shared" si="4"/>
        <v>1958268.667</v>
      </c>
      <c r="X70" s="29"/>
    </row>
    <row r="71">
      <c r="A71" s="10">
        <v>44279.0</v>
      </c>
      <c r="B71" s="20" t="s">
        <v>26</v>
      </c>
      <c r="C71" s="20" t="s">
        <v>85</v>
      </c>
      <c r="D71" s="21">
        <v>35050.0</v>
      </c>
      <c r="F71" s="17">
        <v>2026.0</v>
      </c>
      <c r="G71" s="11" t="s">
        <v>49</v>
      </c>
      <c r="H71" s="25">
        <v>0.0</v>
      </c>
      <c r="I71" s="25">
        <v>0.0</v>
      </c>
      <c r="J71" s="21">
        <v>760000.0</v>
      </c>
      <c r="K71" s="25">
        <v>0.0</v>
      </c>
      <c r="L71" s="25">
        <v>0.0</v>
      </c>
      <c r="M71" s="23">
        <f t="shared" si="27"/>
        <v>5854760</v>
      </c>
      <c r="N71" s="21">
        <v>1125000.0</v>
      </c>
      <c r="O71" s="12">
        <f t="shared" si="7"/>
        <v>166666.6667</v>
      </c>
      <c r="P71" s="21">
        <v>400000.0</v>
      </c>
      <c r="Q71" s="25">
        <v>0.0</v>
      </c>
      <c r="R71" s="25">
        <v>0.0</v>
      </c>
      <c r="S71" s="12">
        <f t="shared" si="16"/>
        <v>1691666.667</v>
      </c>
      <c r="T71" s="12">
        <f t="shared" si="5"/>
        <v>4163093.333</v>
      </c>
      <c r="U71" s="12">
        <f t="shared" si="8"/>
        <v>2081546.667</v>
      </c>
      <c r="V71" s="12">
        <f t="shared" si="19"/>
        <v>130938</v>
      </c>
      <c r="W71" s="22">
        <f t="shared" si="4"/>
        <v>1950608.667</v>
      </c>
      <c r="X71" s="29"/>
    </row>
    <row r="72">
      <c r="A72" s="10">
        <v>44280.0</v>
      </c>
      <c r="B72" s="11" t="s">
        <v>30</v>
      </c>
      <c r="C72" s="20" t="s">
        <v>50</v>
      </c>
      <c r="D72" s="21">
        <v>42499.0</v>
      </c>
      <c r="F72" s="17">
        <v>2026.0</v>
      </c>
      <c r="G72" s="20" t="s">
        <v>51</v>
      </c>
      <c r="H72" s="25">
        <v>0.0</v>
      </c>
      <c r="I72" s="25">
        <v>0.0</v>
      </c>
      <c r="J72" s="21">
        <v>760000.0</v>
      </c>
      <c r="K72" s="25">
        <v>0.0</v>
      </c>
      <c r="L72" s="25">
        <v>0.0</v>
      </c>
      <c r="M72" s="23">
        <f>H72+I72+J72+SUM(D463:D493)+K72+L72</f>
        <v>5450526</v>
      </c>
      <c r="N72" s="21">
        <v>1125000.0</v>
      </c>
      <c r="O72" s="12">
        <f t="shared" si="7"/>
        <v>166666.6667</v>
      </c>
      <c r="P72" s="21">
        <v>400000.0</v>
      </c>
      <c r="Q72" s="25">
        <v>0.0</v>
      </c>
      <c r="R72" s="25">
        <v>0.0</v>
      </c>
      <c r="S72" s="12">
        <f t="shared" si="16"/>
        <v>1691666.667</v>
      </c>
      <c r="T72" s="12">
        <f t="shared" si="5"/>
        <v>3758859.333</v>
      </c>
      <c r="U72" s="12">
        <f t="shared" si="8"/>
        <v>1879429.667</v>
      </c>
      <c r="V72" s="12">
        <f t="shared" si="19"/>
        <v>130938</v>
      </c>
      <c r="W72" s="22">
        <f t="shared" si="4"/>
        <v>1748491.667</v>
      </c>
      <c r="X72" s="29"/>
    </row>
    <row r="73">
      <c r="A73" s="10">
        <v>44280.0</v>
      </c>
      <c r="B73" s="11" t="s">
        <v>30</v>
      </c>
      <c r="C73" s="20" t="s">
        <v>86</v>
      </c>
      <c r="D73" s="21">
        <v>30299.0</v>
      </c>
      <c r="F73" s="17">
        <v>2026.0</v>
      </c>
      <c r="G73" s="20" t="s">
        <v>53</v>
      </c>
      <c r="H73" s="25">
        <v>0.0</v>
      </c>
      <c r="I73" s="25">
        <v>0.0</v>
      </c>
      <c r="J73" s="21">
        <v>760000.0</v>
      </c>
      <c r="K73" s="25">
        <v>0.0</v>
      </c>
      <c r="L73" s="25">
        <v>0.0</v>
      </c>
      <c r="M73" s="23">
        <f t="shared" ref="M73:M75" si="28">H73+I73+J73+SUM(D466:D495)+K73+L73</f>
        <v>5295761</v>
      </c>
      <c r="N73" s="21">
        <v>1125000.0</v>
      </c>
      <c r="O73" s="12">
        <f t="shared" si="7"/>
        <v>166666.6667</v>
      </c>
      <c r="P73" s="21">
        <v>400000.0</v>
      </c>
      <c r="Q73" s="25">
        <v>0.0</v>
      </c>
      <c r="R73" s="25">
        <v>0.0</v>
      </c>
      <c r="S73" s="12">
        <f t="shared" si="16"/>
        <v>1691666.667</v>
      </c>
      <c r="T73" s="12">
        <f t="shared" si="5"/>
        <v>3604094.333</v>
      </c>
      <c r="U73" s="12">
        <f t="shared" si="8"/>
        <v>1802047.167</v>
      </c>
      <c r="V73" s="12">
        <f t="shared" si="19"/>
        <v>130938</v>
      </c>
      <c r="W73" s="22">
        <f t="shared" si="4"/>
        <v>1671109.167</v>
      </c>
      <c r="X73" s="29"/>
    </row>
    <row r="74">
      <c r="A74" s="10">
        <v>44283.0</v>
      </c>
      <c r="B74" s="11" t="s">
        <v>15</v>
      </c>
      <c r="C74" s="11" t="s">
        <v>16</v>
      </c>
      <c r="D74" s="21">
        <v>73300.0</v>
      </c>
      <c r="F74" s="17">
        <v>2026.0</v>
      </c>
      <c r="G74" s="11" t="s">
        <v>55</v>
      </c>
      <c r="H74" s="25">
        <v>0.0</v>
      </c>
      <c r="I74" s="25">
        <v>0.0</v>
      </c>
      <c r="J74" s="21">
        <v>760000.0</v>
      </c>
      <c r="K74" s="25">
        <v>0.0</v>
      </c>
      <c r="L74" s="25">
        <v>0.0</v>
      </c>
      <c r="M74" s="23">
        <f t="shared" si="28"/>
        <v>5296573</v>
      </c>
      <c r="N74" s="21">
        <v>1125000.0</v>
      </c>
      <c r="O74" s="12">
        <f t="shared" si="7"/>
        <v>166666.6667</v>
      </c>
      <c r="P74" s="21">
        <v>400000.0</v>
      </c>
      <c r="Q74" s="25">
        <v>0.0</v>
      </c>
      <c r="R74" s="25">
        <v>0.0</v>
      </c>
      <c r="S74" s="12">
        <f t="shared" si="16"/>
        <v>1691666.667</v>
      </c>
      <c r="T74" s="12">
        <f t="shared" si="5"/>
        <v>3604906.333</v>
      </c>
      <c r="U74" s="12">
        <f t="shared" si="8"/>
        <v>1802453.167</v>
      </c>
      <c r="V74" s="12">
        <f t="shared" si="19"/>
        <v>130938</v>
      </c>
      <c r="W74" s="22">
        <f t="shared" si="4"/>
        <v>1671515.167</v>
      </c>
      <c r="X74" s="29"/>
    </row>
    <row r="75">
      <c r="A75" s="10">
        <v>44290.0</v>
      </c>
      <c r="B75" s="11" t="s">
        <v>30</v>
      </c>
      <c r="C75" s="20" t="s">
        <v>61</v>
      </c>
      <c r="D75" s="21">
        <v>94430.0</v>
      </c>
      <c r="F75" s="17">
        <v>2026.0</v>
      </c>
      <c r="G75" s="20" t="s">
        <v>56</v>
      </c>
      <c r="H75" s="25">
        <v>0.0</v>
      </c>
      <c r="I75" s="25">
        <v>0.0</v>
      </c>
      <c r="J75" s="21">
        <v>760000.0</v>
      </c>
      <c r="K75" s="25">
        <v>0.0</v>
      </c>
      <c r="L75" s="25">
        <v>0.0</v>
      </c>
      <c r="M75" s="23">
        <f t="shared" si="28"/>
        <v>5321313</v>
      </c>
      <c r="N75" s="21">
        <v>1125000.0</v>
      </c>
      <c r="O75" s="12">
        <f t="shared" si="7"/>
        <v>166666.6667</v>
      </c>
      <c r="P75" s="21">
        <v>400000.0</v>
      </c>
      <c r="Q75" s="25">
        <v>0.0</v>
      </c>
      <c r="R75" s="25">
        <v>0.0</v>
      </c>
      <c r="S75" s="12">
        <f t="shared" si="16"/>
        <v>1691666.667</v>
      </c>
      <c r="T75" s="12">
        <f t="shared" si="5"/>
        <v>3629646.333</v>
      </c>
      <c r="U75" s="12">
        <f t="shared" si="8"/>
        <v>1814823.167</v>
      </c>
      <c r="V75" s="12">
        <f t="shared" si="19"/>
        <v>130938</v>
      </c>
      <c r="W75" s="22">
        <f t="shared" si="4"/>
        <v>1683885.167</v>
      </c>
      <c r="X75" s="29"/>
    </row>
    <row r="76">
      <c r="A76" s="10">
        <v>44290.0</v>
      </c>
      <c r="B76" s="11" t="s">
        <v>30</v>
      </c>
      <c r="C76" s="20" t="s">
        <v>74</v>
      </c>
      <c r="D76" s="21">
        <v>20612.0</v>
      </c>
      <c r="F76" s="17">
        <v>2027.0</v>
      </c>
      <c r="G76" s="20" t="s">
        <v>57</v>
      </c>
      <c r="H76" s="25">
        <v>0.0</v>
      </c>
      <c r="I76" s="25">
        <v>0.0</v>
      </c>
      <c r="J76" s="21">
        <v>760000.0</v>
      </c>
      <c r="K76" s="25">
        <v>0.0</v>
      </c>
      <c r="L76" s="25">
        <v>0.0</v>
      </c>
      <c r="M76" s="23">
        <f>H76+I76+J76+SUM(D470:D498)+K76+L76</f>
        <v>5396886</v>
      </c>
      <c r="N76" s="21">
        <v>1125000.0</v>
      </c>
      <c r="O76" s="12">
        <f t="shared" si="7"/>
        <v>166666.6667</v>
      </c>
      <c r="P76" s="21">
        <v>400000.0</v>
      </c>
      <c r="Q76" s="25">
        <v>0.0</v>
      </c>
      <c r="R76" s="25">
        <v>0.0</v>
      </c>
      <c r="S76" s="12">
        <f t="shared" si="16"/>
        <v>1691666.667</v>
      </c>
      <c r="T76" s="12">
        <f t="shared" si="5"/>
        <v>3705219.333</v>
      </c>
      <c r="U76" s="12">
        <f t="shared" si="8"/>
        <v>1852609.667</v>
      </c>
      <c r="V76" s="12">
        <f t="shared" si="19"/>
        <v>130938</v>
      </c>
      <c r="W76" s="22">
        <f t="shared" si="4"/>
        <v>1721671.667</v>
      </c>
      <c r="X76" s="29"/>
    </row>
    <row r="77">
      <c r="A77" s="10">
        <v>44290.0</v>
      </c>
      <c r="B77" s="11" t="s">
        <v>30</v>
      </c>
      <c r="C77" s="20" t="s">
        <v>50</v>
      </c>
      <c r="D77" s="21">
        <v>42808.0</v>
      </c>
      <c r="F77" s="17">
        <v>2027.0</v>
      </c>
      <c r="G77" s="20" t="s">
        <v>58</v>
      </c>
      <c r="H77" s="25">
        <v>0.0</v>
      </c>
      <c r="I77" s="25">
        <v>0.0</v>
      </c>
      <c r="J77" s="21">
        <v>760000.0</v>
      </c>
      <c r="K77" s="25">
        <v>0.0</v>
      </c>
      <c r="L77" s="25">
        <v>0.0</v>
      </c>
      <c r="M77" s="23">
        <f t="shared" ref="M77:M79" si="29">H77+I77+J77+SUM(D472:D499)+K77+L77</f>
        <v>5157289</v>
      </c>
      <c r="N77" s="21">
        <v>1125000.0</v>
      </c>
      <c r="O77" s="12">
        <f t="shared" si="7"/>
        <v>166666.6667</v>
      </c>
      <c r="P77" s="21">
        <v>400000.0</v>
      </c>
      <c r="Q77" s="25">
        <v>0.0</v>
      </c>
      <c r="R77" s="25">
        <v>0.0</v>
      </c>
      <c r="S77" s="12">
        <f t="shared" si="16"/>
        <v>1691666.667</v>
      </c>
      <c r="T77" s="12">
        <f t="shared" si="5"/>
        <v>3465622.333</v>
      </c>
      <c r="U77" s="12">
        <f t="shared" si="8"/>
        <v>1732811.167</v>
      </c>
      <c r="V77" s="12">
        <f t="shared" si="19"/>
        <v>130938</v>
      </c>
      <c r="W77" s="22">
        <f t="shared" si="4"/>
        <v>1601873.167</v>
      </c>
      <c r="X77" s="29"/>
    </row>
    <row r="78">
      <c r="A78" s="10">
        <v>44291.0</v>
      </c>
      <c r="B78" s="20" t="s">
        <v>26</v>
      </c>
      <c r="C78" s="20" t="s">
        <v>78</v>
      </c>
      <c r="D78" s="21">
        <v>65000.0</v>
      </c>
      <c r="F78" s="17">
        <v>2027.0</v>
      </c>
      <c r="G78" s="11" t="s">
        <v>59</v>
      </c>
      <c r="H78" s="25">
        <v>0.0</v>
      </c>
      <c r="I78" s="25">
        <v>0.0</v>
      </c>
      <c r="J78" s="21">
        <v>760000.0</v>
      </c>
      <c r="K78" s="25">
        <v>0.0</v>
      </c>
      <c r="L78" s="25">
        <v>0.0</v>
      </c>
      <c r="M78" s="23">
        <f t="shared" si="29"/>
        <v>5046307</v>
      </c>
      <c r="N78" s="21">
        <v>1125000.0</v>
      </c>
      <c r="O78" s="12">
        <f t="shared" si="7"/>
        <v>166666.6667</v>
      </c>
      <c r="P78" s="21">
        <v>400000.0</v>
      </c>
      <c r="Q78" s="25">
        <v>0.0</v>
      </c>
      <c r="R78" s="25">
        <v>0.0</v>
      </c>
      <c r="S78" s="12">
        <f t="shared" si="16"/>
        <v>1691666.667</v>
      </c>
      <c r="T78" s="12">
        <f t="shared" si="5"/>
        <v>3354640.333</v>
      </c>
      <c r="U78" s="12">
        <f t="shared" si="8"/>
        <v>1677320.167</v>
      </c>
      <c r="V78" s="12">
        <f t="shared" si="19"/>
        <v>130938</v>
      </c>
      <c r="W78" s="22">
        <f t="shared" si="4"/>
        <v>1546382.167</v>
      </c>
      <c r="X78" s="29"/>
    </row>
    <row r="79">
      <c r="A79" s="10">
        <v>44293.0</v>
      </c>
      <c r="B79" s="11" t="s">
        <v>30</v>
      </c>
      <c r="C79" s="20" t="s">
        <v>82</v>
      </c>
      <c r="D79" s="21">
        <v>191706.0</v>
      </c>
      <c r="F79" s="17">
        <v>2027.0</v>
      </c>
      <c r="G79" s="20" t="s">
        <v>62</v>
      </c>
      <c r="H79" s="25">
        <v>0.0</v>
      </c>
      <c r="I79" s="25">
        <v>0.0</v>
      </c>
      <c r="J79" s="21">
        <v>760000.0</v>
      </c>
      <c r="K79" s="25">
        <v>0.0</v>
      </c>
      <c r="L79" s="25">
        <v>0.0</v>
      </c>
      <c r="M79" s="23">
        <f t="shared" si="29"/>
        <v>5026757</v>
      </c>
      <c r="N79" s="21">
        <v>1125000.0</v>
      </c>
      <c r="O79" s="12">
        <f t="shared" si="7"/>
        <v>166666.6667</v>
      </c>
      <c r="P79" s="21">
        <v>400000.0</v>
      </c>
      <c r="Q79" s="25">
        <v>0.0</v>
      </c>
      <c r="R79" s="25">
        <v>0.0</v>
      </c>
      <c r="S79" s="12">
        <f t="shared" si="16"/>
        <v>1691666.667</v>
      </c>
      <c r="T79" s="12">
        <f t="shared" si="5"/>
        <v>3335090.333</v>
      </c>
      <c r="U79" s="12">
        <f t="shared" si="8"/>
        <v>1667545.167</v>
      </c>
      <c r="V79" s="12">
        <f t="shared" si="19"/>
        <v>130938</v>
      </c>
      <c r="W79" s="22">
        <f t="shared" si="4"/>
        <v>1536607.167</v>
      </c>
      <c r="X79" s="29"/>
    </row>
    <row r="80">
      <c r="A80" s="10">
        <v>44293.0</v>
      </c>
      <c r="B80" s="11" t="s">
        <v>30</v>
      </c>
      <c r="C80" s="20" t="s">
        <v>87</v>
      </c>
      <c r="D80" s="21">
        <v>39700.0</v>
      </c>
      <c r="F80" s="17">
        <v>2027.0</v>
      </c>
      <c r="G80" s="20" t="s">
        <v>44</v>
      </c>
      <c r="H80" s="25">
        <v>0.0</v>
      </c>
      <c r="I80" s="25">
        <v>0.0</v>
      </c>
      <c r="J80" s="21">
        <v>760000.0</v>
      </c>
      <c r="K80" s="25">
        <v>0.0</v>
      </c>
      <c r="L80" s="25">
        <v>0.0</v>
      </c>
      <c r="M80" s="23">
        <f>H80+I80+J80+SUM(D464:D502)+K80+L80</f>
        <v>6241508</v>
      </c>
      <c r="N80" s="21">
        <v>1125000.0</v>
      </c>
      <c r="O80" s="12">
        <f t="shared" si="7"/>
        <v>166666.6667</v>
      </c>
      <c r="P80" s="21">
        <v>400000.0</v>
      </c>
      <c r="Q80" s="25">
        <v>0.0</v>
      </c>
      <c r="R80" s="25">
        <v>0.0</v>
      </c>
      <c r="S80" s="12">
        <f t="shared" si="16"/>
        <v>1691666.667</v>
      </c>
      <c r="T80" s="12">
        <f t="shared" si="5"/>
        <v>4549841.333</v>
      </c>
      <c r="U80" s="12">
        <f t="shared" si="8"/>
        <v>2274920.667</v>
      </c>
      <c r="V80" s="12">
        <f t="shared" si="19"/>
        <v>130938</v>
      </c>
      <c r="W80" s="22">
        <f t="shared" si="4"/>
        <v>2143982.667</v>
      </c>
      <c r="X80" s="29"/>
    </row>
    <row r="81">
      <c r="A81" s="10">
        <v>44293.0</v>
      </c>
      <c r="B81" s="20" t="s">
        <v>15</v>
      </c>
      <c r="C81" s="20" t="s">
        <v>16</v>
      </c>
      <c r="D81" s="21">
        <v>66269.0</v>
      </c>
      <c r="F81" s="17">
        <v>2027.0</v>
      </c>
      <c r="G81" s="11" t="s">
        <v>47</v>
      </c>
      <c r="H81" s="25">
        <v>0.0</v>
      </c>
      <c r="I81" s="25">
        <v>0.0</v>
      </c>
      <c r="J81" s="21">
        <v>760000.0</v>
      </c>
      <c r="K81" s="25">
        <v>0.0</v>
      </c>
      <c r="L81" s="25">
        <v>0.0</v>
      </c>
      <c r="M81" s="23">
        <f t="shared" ref="M81:M84" si="30">H81+I81+J81+SUM(D476:D503)+K81+L81</f>
        <v>5232075</v>
      </c>
      <c r="N81" s="21">
        <v>1125000.0</v>
      </c>
      <c r="O81" s="12">
        <f t="shared" si="7"/>
        <v>166666.6667</v>
      </c>
      <c r="P81" s="21">
        <v>400000.0</v>
      </c>
      <c r="Q81" s="25">
        <v>0.0</v>
      </c>
      <c r="R81" s="25">
        <v>0.0</v>
      </c>
      <c r="S81" s="12">
        <f t="shared" si="16"/>
        <v>1691666.667</v>
      </c>
      <c r="T81" s="12">
        <f t="shared" si="5"/>
        <v>3540408.333</v>
      </c>
      <c r="U81" s="12">
        <f t="shared" si="8"/>
        <v>1770204.167</v>
      </c>
      <c r="V81" s="12">
        <f t="shared" si="19"/>
        <v>130938</v>
      </c>
      <c r="W81" s="22">
        <f t="shared" si="4"/>
        <v>1639266.167</v>
      </c>
      <c r="X81" s="29"/>
    </row>
    <row r="82">
      <c r="A82" s="10">
        <v>44294.0</v>
      </c>
      <c r="B82" s="11" t="s">
        <v>64</v>
      </c>
      <c r="C82" s="20" t="s">
        <v>76</v>
      </c>
      <c r="D82" s="21">
        <v>190121.0</v>
      </c>
      <c r="F82" s="17">
        <v>2027.0</v>
      </c>
      <c r="G82" s="20" t="s">
        <v>48</v>
      </c>
      <c r="H82" s="25">
        <v>0.0</v>
      </c>
      <c r="I82" s="25">
        <v>0.0</v>
      </c>
      <c r="J82" s="21">
        <v>760000.0</v>
      </c>
      <c r="K82" s="25">
        <v>0.0</v>
      </c>
      <c r="L82" s="25">
        <v>0.0</v>
      </c>
      <c r="M82" s="23">
        <f t="shared" si="30"/>
        <v>5166835</v>
      </c>
      <c r="N82" s="21">
        <v>1125000.0</v>
      </c>
      <c r="O82" s="12">
        <f t="shared" si="7"/>
        <v>166666.6667</v>
      </c>
      <c r="P82" s="21">
        <v>400000.0</v>
      </c>
      <c r="Q82" s="25">
        <v>0.0</v>
      </c>
      <c r="R82" s="25">
        <v>0.0</v>
      </c>
      <c r="S82" s="12">
        <f t="shared" si="16"/>
        <v>1691666.667</v>
      </c>
      <c r="T82" s="12">
        <f t="shared" si="5"/>
        <v>3475168.333</v>
      </c>
      <c r="U82" s="12">
        <f t="shared" si="8"/>
        <v>1737584.167</v>
      </c>
      <c r="V82" s="12">
        <f t="shared" si="19"/>
        <v>130938</v>
      </c>
      <c r="W82" s="22">
        <f t="shared" si="4"/>
        <v>1606646.167</v>
      </c>
      <c r="X82" s="29"/>
    </row>
    <row r="83">
      <c r="A83" s="10">
        <v>44296.0</v>
      </c>
      <c r="B83" s="11" t="s">
        <v>64</v>
      </c>
      <c r="C83" s="20" t="s">
        <v>68</v>
      </c>
      <c r="D83" s="21">
        <v>116555.0</v>
      </c>
      <c r="F83" s="17">
        <v>2027.0</v>
      </c>
      <c r="G83" s="11" t="s">
        <v>49</v>
      </c>
      <c r="H83" s="25">
        <v>0.0</v>
      </c>
      <c r="I83" s="25">
        <v>0.0</v>
      </c>
      <c r="J83" s="21">
        <v>760000.0</v>
      </c>
      <c r="K83" s="25">
        <v>0.0</v>
      </c>
      <c r="L83" s="25">
        <v>0.0</v>
      </c>
      <c r="M83" s="23">
        <f t="shared" si="30"/>
        <v>4841594</v>
      </c>
      <c r="N83" s="21">
        <v>1125000.0</v>
      </c>
      <c r="O83" s="12">
        <f t="shared" si="7"/>
        <v>166666.6667</v>
      </c>
      <c r="P83" s="21">
        <v>400000.0</v>
      </c>
      <c r="Q83" s="25">
        <v>0.0</v>
      </c>
      <c r="R83" s="25">
        <v>0.0</v>
      </c>
      <c r="S83" s="12">
        <f t="shared" si="16"/>
        <v>1691666.667</v>
      </c>
      <c r="T83" s="12">
        <f t="shared" si="5"/>
        <v>3149927.333</v>
      </c>
      <c r="U83" s="12">
        <f t="shared" si="8"/>
        <v>1574963.667</v>
      </c>
      <c r="V83" s="12">
        <f t="shared" si="19"/>
        <v>130938</v>
      </c>
      <c r="W83" s="22">
        <f t="shared" si="4"/>
        <v>1444025.667</v>
      </c>
      <c r="X83" s="29"/>
    </row>
    <row r="84">
      <c r="A84" s="10">
        <v>44298.0</v>
      </c>
      <c r="B84" s="11" t="s">
        <v>64</v>
      </c>
      <c r="C84" s="20" t="s">
        <v>65</v>
      </c>
      <c r="D84" s="21">
        <v>74178.0</v>
      </c>
      <c r="F84" s="17">
        <v>2027.0</v>
      </c>
      <c r="G84" s="20" t="s">
        <v>51</v>
      </c>
      <c r="H84" s="25">
        <v>0.0</v>
      </c>
      <c r="I84" s="25">
        <v>0.0</v>
      </c>
      <c r="J84" s="21">
        <v>760000.0</v>
      </c>
      <c r="K84" s="25">
        <v>0.0</v>
      </c>
      <c r="L84" s="25">
        <v>0.0</v>
      </c>
      <c r="M84" s="23">
        <f t="shared" si="30"/>
        <v>4854345</v>
      </c>
      <c r="N84" s="21">
        <v>1125000.0</v>
      </c>
      <c r="O84" s="12">
        <f t="shared" si="7"/>
        <v>166666.6667</v>
      </c>
      <c r="P84" s="21">
        <v>400000.0</v>
      </c>
      <c r="Q84" s="25">
        <v>0.0</v>
      </c>
      <c r="R84" s="25">
        <v>0.0</v>
      </c>
      <c r="S84" s="12">
        <f t="shared" si="16"/>
        <v>1691666.667</v>
      </c>
      <c r="T84" s="12">
        <f t="shared" si="5"/>
        <v>3162678.333</v>
      </c>
      <c r="U84" s="12">
        <f t="shared" si="8"/>
        <v>1581339.167</v>
      </c>
      <c r="V84" s="12">
        <f t="shared" si="19"/>
        <v>130938</v>
      </c>
      <c r="W84" s="22">
        <f t="shared" si="4"/>
        <v>1450401.167</v>
      </c>
      <c r="X84" s="29"/>
    </row>
    <row r="85">
      <c r="A85" s="10">
        <v>44272.0</v>
      </c>
      <c r="B85" s="11" t="s">
        <v>30</v>
      </c>
      <c r="C85" s="17" t="s">
        <v>41</v>
      </c>
      <c r="D85" s="21">
        <v>153353.0</v>
      </c>
      <c r="F85" s="17">
        <v>2027.0</v>
      </c>
      <c r="G85" s="20" t="s">
        <v>53</v>
      </c>
      <c r="H85" s="25">
        <v>0.0</v>
      </c>
      <c r="I85" s="25">
        <v>0.0</v>
      </c>
      <c r="J85" s="21">
        <v>760000.0</v>
      </c>
      <c r="K85" s="25">
        <v>0.0</v>
      </c>
      <c r="L85" s="25">
        <v>0.0</v>
      </c>
      <c r="M85" s="23">
        <f t="shared" ref="M85:M87" si="31">H85+I85+J85+SUM(D481:D507)+K85+L85</f>
        <v>4550114</v>
      </c>
      <c r="N85" s="21">
        <v>1125000.0</v>
      </c>
      <c r="O85" s="12">
        <f t="shared" si="7"/>
        <v>166666.6667</v>
      </c>
      <c r="P85" s="21">
        <v>400000.0</v>
      </c>
      <c r="Q85" s="25">
        <v>0.0</v>
      </c>
      <c r="R85" s="25">
        <v>0.0</v>
      </c>
      <c r="S85" s="12">
        <f t="shared" si="16"/>
        <v>1691666.667</v>
      </c>
      <c r="T85" s="12">
        <f t="shared" si="5"/>
        <v>2858447.333</v>
      </c>
      <c r="U85" s="12">
        <f t="shared" si="8"/>
        <v>1429223.667</v>
      </c>
      <c r="V85" s="12">
        <f t="shared" si="19"/>
        <v>130938</v>
      </c>
      <c r="W85" s="22">
        <f t="shared" si="4"/>
        <v>1298285.667</v>
      </c>
      <c r="X85" s="29"/>
    </row>
    <row r="86">
      <c r="A86" s="10">
        <v>44306.0</v>
      </c>
      <c r="B86" s="20" t="s">
        <v>15</v>
      </c>
      <c r="C86" s="20" t="s">
        <v>26</v>
      </c>
      <c r="D86" s="21">
        <v>200000.0</v>
      </c>
      <c r="F86" s="17">
        <v>2027.0</v>
      </c>
      <c r="G86" s="11" t="s">
        <v>55</v>
      </c>
      <c r="H86" s="25">
        <v>0.0</v>
      </c>
      <c r="I86" s="25">
        <v>0.0</v>
      </c>
      <c r="J86" s="21">
        <v>760000.0</v>
      </c>
      <c r="K86" s="25">
        <v>0.0</v>
      </c>
      <c r="L86" s="25">
        <v>0.0</v>
      </c>
      <c r="M86" s="23">
        <f t="shared" si="31"/>
        <v>4479894</v>
      </c>
      <c r="N86" s="21">
        <v>1125000.0</v>
      </c>
      <c r="O86" s="12">
        <f t="shared" si="7"/>
        <v>166666.6667</v>
      </c>
      <c r="P86" s="21">
        <v>400000.0</v>
      </c>
      <c r="Q86" s="25">
        <v>0.0</v>
      </c>
      <c r="R86" s="25">
        <v>0.0</v>
      </c>
      <c r="S86" s="12">
        <f t="shared" si="16"/>
        <v>1691666.667</v>
      </c>
      <c r="T86" s="12">
        <f t="shared" si="5"/>
        <v>2788227.333</v>
      </c>
      <c r="U86" s="12">
        <f t="shared" si="8"/>
        <v>1394113.667</v>
      </c>
      <c r="V86" s="12">
        <f t="shared" si="19"/>
        <v>130938</v>
      </c>
      <c r="W86" s="22">
        <f t="shared" si="4"/>
        <v>1263175.667</v>
      </c>
      <c r="X86" s="29"/>
    </row>
    <row r="87">
      <c r="A87" s="10">
        <v>44306.0</v>
      </c>
      <c r="B87" s="11" t="s">
        <v>64</v>
      </c>
      <c r="C87" s="11" t="s">
        <v>78</v>
      </c>
      <c r="D87" s="12">
        <v>65000.0</v>
      </c>
      <c r="F87" s="17">
        <v>2027.0</v>
      </c>
      <c r="G87" s="20" t="s">
        <v>56</v>
      </c>
      <c r="H87" s="25">
        <v>0.0</v>
      </c>
      <c r="I87" s="25">
        <v>0.0</v>
      </c>
      <c r="J87" s="21">
        <v>760000.0</v>
      </c>
      <c r="K87" s="25">
        <v>0.0</v>
      </c>
      <c r="L87" s="25">
        <v>0.0</v>
      </c>
      <c r="M87" s="23">
        <f t="shared" si="31"/>
        <v>4417741</v>
      </c>
      <c r="N87" s="21">
        <v>1125000.0</v>
      </c>
      <c r="O87" s="12">
        <f t="shared" si="7"/>
        <v>166666.6667</v>
      </c>
      <c r="P87" s="21">
        <v>400000.0</v>
      </c>
      <c r="Q87" s="25">
        <v>0.0</v>
      </c>
      <c r="R87" s="25">
        <v>0.0</v>
      </c>
      <c r="S87" s="12">
        <f t="shared" si="16"/>
        <v>1691666.667</v>
      </c>
      <c r="T87" s="12">
        <f t="shared" si="5"/>
        <v>2726074.333</v>
      </c>
      <c r="U87" s="12">
        <f t="shared" si="8"/>
        <v>1363037.167</v>
      </c>
      <c r="V87" s="12">
        <f t="shared" si="19"/>
        <v>130938</v>
      </c>
      <c r="W87" s="22">
        <f t="shared" si="4"/>
        <v>1232099.167</v>
      </c>
      <c r="X87" s="29"/>
    </row>
    <row r="88">
      <c r="A88" s="10">
        <v>44309.0</v>
      </c>
      <c r="B88" s="11" t="s">
        <v>30</v>
      </c>
      <c r="C88" s="20" t="s">
        <v>82</v>
      </c>
      <c r="D88" s="21">
        <v>140167.9</v>
      </c>
      <c r="F88" s="17">
        <v>2028.0</v>
      </c>
      <c r="G88" s="20" t="s">
        <v>57</v>
      </c>
      <c r="H88" s="25">
        <v>0.0</v>
      </c>
      <c r="I88" s="25">
        <v>0.0</v>
      </c>
      <c r="J88" s="21">
        <v>760000.0</v>
      </c>
      <c r="K88" s="25">
        <v>0.0</v>
      </c>
      <c r="L88" s="25">
        <v>0.0</v>
      </c>
      <c r="M88" s="23">
        <f>H88+I88+J88+SUM(D483:D510)+K88+L88</f>
        <v>4757741</v>
      </c>
      <c r="N88" s="21">
        <v>1125000.0</v>
      </c>
      <c r="O88" s="12">
        <f t="shared" si="7"/>
        <v>166666.6667</v>
      </c>
      <c r="P88" s="21">
        <v>400000.0</v>
      </c>
      <c r="Q88" s="25">
        <v>0.0</v>
      </c>
      <c r="R88" s="25">
        <v>0.0</v>
      </c>
      <c r="S88" s="12">
        <f t="shared" si="16"/>
        <v>1691666.667</v>
      </c>
      <c r="T88" s="12">
        <f t="shared" si="5"/>
        <v>3066074.333</v>
      </c>
      <c r="U88" s="12">
        <f t="shared" si="8"/>
        <v>1533037.167</v>
      </c>
      <c r="V88" s="12">
        <f t="shared" si="19"/>
        <v>130938</v>
      </c>
      <c r="W88" s="22">
        <f t="shared" si="4"/>
        <v>1402099.167</v>
      </c>
      <c r="X88" s="29"/>
    </row>
    <row r="89">
      <c r="A89" s="10">
        <v>44309.0</v>
      </c>
      <c r="B89" s="11" t="s">
        <v>30</v>
      </c>
      <c r="C89" s="20" t="s">
        <v>61</v>
      </c>
      <c r="D89" s="21">
        <v>45380.0</v>
      </c>
      <c r="F89" s="17">
        <v>2028.0</v>
      </c>
      <c r="G89" s="20" t="s">
        <v>58</v>
      </c>
      <c r="H89" s="25">
        <v>0.0</v>
      </c>
      <c r="I89" s="25">
        <v>0.0</v>
      </c>
      <c r="J89" s="21">
        <v>760000.0</v>
      </c>
      <c r="K89" s="25">
        <v>0.0</v>
      </c>
      <c r="L89" s="25">
        <v>0.0</v>
      </c>
      <c r="M89" s="23">
        <f t="shared" ref="M89:M90" si="32">H89+I89+J89+SUM(D483:D511)+K89+L89</f>
        <v>4797541</v>
      </c>
      <c r="N89" s="21">
        <v>1125000.0</v>
      </c>
      <c r="O89" s="12">
        <f t="shared" si="7"/>
        <v>166666.6667</v>
      </c>
      <c r="P89" s="21">
        <v>400000.0</v>
      </c>
      <c r="Q89" s="25">
        <v>0.0</v>
      </c>
      <c r="R89" s="25">
        <v>0.0</v>
      </c>
      <c r="S89" s="12">
        <f t="shared" si="16"/>
        <v>1691666.667</v>
      </c>
      <c r="T89" s="12">
        <f t="shared" si="5"/>
        <v>3105874.333</v>
      </c>
      <c r="U89" s="12">
        <f t="shared" si="8"/>
        <v>1552937.167</v>
      </c>
      <c r="V89" s="12">
        <f t="shared" si="19"/>
        <v>130938</v>
      </c>
      <c r="W89" s="22">
        <f t="shared" si="4"/>
        <v>1421999.167</v>
      </c>
      <c r="X89" s="29"/>
    </row>
    <row r="90">
      <c r="A90" s="10">
        <v>44318.0</v>
      </c>
      <c r="B90" s="11" t="s">
        <v>30</v>
      </c>
      <c r="C90" s="20" t="s">
        <v>88</v>
      </c>
      <c r="D90" s="21">
        <v>61300.0</v>
      </c>
      <c r="F90" s="17">
        <v>2028.0</v>
      </c>
      <c r="G90" s="11" t="s">
        <v>59</v>
      </c>
      <c r="H90" s="25">
        <v>0.0</v>
      </c>
      <c r="I90" s="25">
        <v>0.0</v>
      </c>
      <c r="J90" s="21">
        <v>760000.0</v>
      </c>
      <c r="K90" s="25">
        <v>0.0</v>
      </c>
      <c r="L90" s="25">
        <v>0.0</v>
      </c>
      <c r="M90" s="23">
        <f t="shared" si="32"/>
        <v>4721276</v>
      </c>
      <c r="N90" s="21">
        <v>1125000.0</v>
      </c>
      <c r="O90" s="12">
        <f t="shared" si="7"/>
        <v>166666.6667</v>
      </c>
      <c r="P90" s="21">
        <v>400000.0</v>
      </c>
      <c r="Q90" s="25">
        <v>0.0</v>
      </c>
      <c r="R90" s="25">
        <v>0.0</v>
      </c>
      <c r="S90" s="12">
        <f t="shared" si="16"/>
        <v>1691666.667</v>
      </c>
      <c r="T90" s="12">
        <f t="shared" si="5"/>
        <v>3029609.333</v>
      </c>
      <c r="U90" s="12">
        <f t="shared" si="8"/>
        <v>1514804.667</v>
      </c>
      <c r="V90" s="12">
        <f t="shared" si="19"/>
        <v>130938</v>
      </c>
      <c r="W90" s="22">
        <f t="shared" si="4"/>
        <v>1383866.667</v>
      </c>
      <c r="X90" s="29"/>
    </row>
    <row r="91">
      <c r="A91" s="10">
        <v>44319.0</v>
      </c>
      <c r="B91" s="11" t="s">
        <v>30</v>
      </c>
      <c r="C91" s="20" t="s">
        <v>89</v>
      </c>
      <c r="D91" s="21">
        <v>270472.0</v>
      </c>
      <c r="F91" s="17">
        <v>2028.0</v>
      </c>
      <c r="G91" s="20" t="s">
        <v>62</v>
      </c>
      <c r="H91" s="25">
        <v>0.0</v>
      </c>
      <c r="I91" s="25">
        <v>0.0</v>
      </c>
      <c r="J91" s="21">
        <v>760000.0</v>
      </c>
      <c r="K91" s="25">
        <v>0.0</v>
      </c>
      <c r="L91" s="25">
        <v>0.0</v>
      </c>
      <c r="M91" s="23">
        <f>H91+I91+J91+SUM(D487:D513)+K91+L91</f>
        <v>4882125</v>
      </c>
      <c r="N91" s="21">
        <v>1125000.0</v>
      </c>
      <c r="O91" s="12">
        <f t="shared" si="7"/>
        <v>166666.6667</v>
      </c>
      <c r="P91" s="21">
        <v>400000.0</v>
      </c>
      <c r="Q91" s="25">
        <v>0.0</v>
      </c>
      <c r="R91" s="25">
        <v>0.0</v>
      </c>
      <c r="S91" s="12">
        <f t="shared" si="16"/>
        <v>1691666.667</v>
      </c>
      <c r="T91" s="12">
        <f t="shared" si="5"/>
        <v>3190458.333</v>
      </c>
      <c r="U91" s="12">
        <f t="shared" si="8"/>
        <v>1595229.167</v>
      </c>
      <c r="V91" s="12">
        <f t="shared" si="19"/>
        <v>130938</v>
      </c>
      <c r="W91" s="22">
        <f t="shared" si="4"/>
        <v>1464291.167</v>
      </c>
      <c r="X91" s="29"/>
    </row>
    <row r="92">
      <c r="A92" s="10">
        <v>44319.0</v>
      </c>
      <c r="B92" s="11" t="s">
        <v>30</v>
      </c>
      <c r="C92" s="20" t="s">
        <v>36</v>
      </c>
      <c r="D92" s="21">
        <v>144270.0</v>
      </c>
      <c r="F92" s="17">
        <v>2028.0</v>
      </c>
      <c r="G92" s="20" t="s">
        <v>44</v>
      </c>
      <c r="H92" s="25">
        <v>0.0</v>
      </c>
      <c r="I92" s="25">
        <v>0.0</v>
      </c>
      <c r="J92" s="21">
        <v>760000.0</v>
      </c>
      <c r="K92" s="25">
        <v>0.0</v>
      </c>
      <c r="L92" s="25">
        <v>0.0</v>
      </c>
      <c r="M92" s="23">
        <f t="shared" ref="M92:M95" si="33">H92+I92+J92+SUM(D490:D514)+K92+L92</f>
        <v>4194350</v>
      </c>
      <c r="N92" s="21">
        <v>1125000.0</v>
      </c>
      <c r="O92" s="12">
        <f t="shared" si="7"/>
        <v>166666.6667</v>
      </c>
      <c r="P92" s="21">
        <v>400000.0</v>
      </c>
      <c r="Q92" s="25">
        <v>0.0</v>
      </c>
      <c r="R92" s="25">
        <v>0.0</v>
      </c>
      <c r="S92" s="12">
        <f t="shared" si="16"/>
        <v>1691666.667</v>
      </c>
      <c r="T92" s="12">
        <f t="shared" si="5"/>
        <v>2502683.333</v>
      </c>
      <c r="U92" s="12">
        <f t="shared" si="8"/>
        <v>1251341.667</v>
      </c>
      <c r="V92" s="12">
        <f t="shared" si="19"/>
        <v>130938</v>
      </c>
      <c r="W92" s="22">
        <f t="shared" si="4"/>
        <v>1120403.667</v>
      </c>
      <c r="X92" s="29"/>
    </row>
    <row r="93">
      <c r="A93" s="10">
        <v>44320.0</v>
      </c>
      <c r="B93" s="11" t="s">
        <v>64</v>
      </c>
      <c r="C93" s="11" t="s">
        <v>78</v>
      </c>
      <c r="D93" s="12">
        <v>65000.0</v>
      </c>
      <c r="F93" s="17">
        <v>2028.0</v>
      </c>
      <c r="G93" s="11" t="s">
        <v>47</v>
      </c>
      <c r="H93" s="25">
        <v>0.0</v>
      </c>
      <c r="I93" s="25">
        <v>0.0</v>
      </c>
      <c r="J93" s="21">
        <v>760000.0</v>
      </c>
      <c r="K93" s="25">
        <v>0.0</v>
      </c>
      <c r="L93" s="25">
        <v>0.0</v>
      </c>
      <c r="M93" s="23">
        <f t="shared" si="33"/>
        <v>3807538</v>
      </c>
      <c r="N93" s="21">
        <v>1125000.0</v>
      </c>
      <c r="O93" s="12">
        <f t="shared" si="7"/>
        <v>166666.6667</v>
      </c>
      <c r="P93" s="21">
        <v>400000.0</v>
      </c>
      <c r="Q93" s="25">
        <v>0.0</v>
      </c>
      <c r="R93" s="25">
        <v>0.0</v>
      </c>
      <c r="S93" s="12">
        <f t="shared" si="16"/>
        <v>1691666.667</v>
      </c>
      <c r="T93" s="12">
        <f t="shared" si="5"/>
        <v>2115871.333</v>
      </c>
      <c r="U93" s="12">
        <f t="shared" si="8"/>
        <v>1057935.667</v>
      </c>
      <c r="V93" s="12">
        <f t="shared" si="19"/>
        <v>130938</v>
      </c>
      <c r="W93" s="22">
        <f t="shared" si="4"/>
        <v>926997.6667</v>
      </c>
      <c r="X93" s="29"/>
    </row>
    <row r="94">
      <c r="A94" s="10">
        <v>44321.0</v>
      </c>
      <c r="B94" s="20" t="s">
        <v>15</v>
      </c>
      <c r="C94" s="20" t="s">
        <v>16</v>
      </c>
      <c r="D94" s="21">
        <v>79454.0</v>
      </c>
      <c r="F94" s="17">
        <v>2028.0</v>
      </c>
      <c r="G94" s="20" t="s">
        <v>48</v>
      </c>
      <c r="H94" s="25">
        <v>0.0</v>
      </c>
      <c r="I94" s="25">
        <v>0.0</v>
      </c>
      <c r="J94" s="21">
        <v>760000.0</v>
      </c>
      <c r="K94" s="25">
        <v>0.0</v>
      </c>
      <c r="L94" s="25">
        <v>0.0</v>
      </c>
      <c r="M94" s="23">
        <f t="shared" si="33"/>
        <v>3755294</v>
      </c>
      <c r="N94" s="21">
        <v>1125000.0</v>
      </c>
      <c r="O94" s="12">
        <f t="shared" si="7"/>
        <v>166666.6667</v>
      </c>
      <c r="P94" s="21">
        <v>400000.0</v>
      </c>
      <c r="Q94" s="25">
        <v>0.0</v>
      </c>
      <c r="R94" s="25">
        <v>0.0</v>
      </c>
      <c r="S94" s="12">
        <f t="shared" si="16"/>
        <v>1691666.667</v>
      </c>
      <c r="T94" s="12">
        <f t="shared" si="5"/>
        <v>2063627.333</v>
      </c>
      <c r="U94" s="12">
        <f t="shared" si="8"/>
        <v>1031813.667</v>
      </c>
      <c r="V94" s="12">
        <f t="shared" si="19"/>
        <v>130938</v>
      </c>
      <c r="W94" s="22">
        <f t="shared" si="4"/>
        <v>900875.6667</v>
      </c>
      <c r="X94" s="29"/>
    </row>
    <row r="95">
      <c r="A95" s="10">
        <v>44322.0</v>
      </c>
      <c r="B95" s="11" t="s">
        <v>64</v>
      </c>
      <c r="C95" s="20" t="s">
        <v>76</v>
      </c>
      <c r="D95" s="21">
        <v>168494.0</v>
      </c>
      <c r="F95" s="17">
        <v>2028.0</v>
      </c>
      <c r="G95" s="11" t="s">
        <v>49</v>
      </c>
      <c r="H95" s="25">
        <v>0.0</v>
      </c>
      <c r="I95" s="25">
        <v>0.0</v>
      </c>
      <c r="J95" s="21">
        <v>760000.0</v>
      </c>
      <c r="K95" s="25">
        <v>0.0</v>
      </c>
      <c r="L95" s="25">
        <v>0.0</v>
      </c>
      <c r="M95" s="23">
        <f t="shared" si="33"/>
        <v>3828894</v>
      </c>
      <c r="N95" s="21">
        <v>1125000.0</v>
      </c>
      <c r="O95" s="12">
        <f t="shared" si="7"/>
        <v>166666.6667</v>
      </c>
      <c r="P95" s="21">
        <v>400000.0</v>
      </c>
      <c r="Q95" s="25">
        <v>0.0</v>
      </c>
      <c r="R95" s="25">
        <v>0.0</v>
      </c>
      <c r="S95" s="12">
        <f t="shared" si="16"/>
        <v>1691666.667</v>
      </c>
      <c r="T95" s="12">
        <f t="shared" si="5"/>
        <v>2137227.333</v>
      </c>
      <c r="U95" s="12">
        <f t="shared" si="8"/>
        <v>1068613.667</v>
      </c>
      <c r="V95" s="12">
        <f t="shared" si="19"/>
        <v>130938</v>
      </c>
      <c r="W95" s="22">
        <f t="shared" si="4"/>
        <v>937675.6667</v>
      </c>
      <c r="X95" s="29"/>
    </row>
    <row r="96">
      <c r="A96" s="10">
        <v>44322.0</v>
      </c>
      <c r="B96" s="11" t="s">
        <v>64</v>
      </c>
      <c r="C96" s="20" t="s">
        <v>90</v>
      </c>
      <c r="D96" s="21">
        <v>22000.0</v>
      </c>
      <c r="F96" s="17">
        <v>2028.0</v>
      </c>
      <c r="G96" s="20" t="s">
        <v>51</v>
      </c>
      <c r="H96" s="25">
        <v>0.0</v>
      </c>
      <c r="I96" s="25">
        <v>0.0</v>
      </c>
      <c r="J96" s="21">
        <v>760000.0</v>
      </c>
      <c r="K96" s="25">
        <v>0.0</v>
      </c>
      <c r="L96" s="25">
        <v>0.0</v>
      </c>
      <c r="M96" s="23">
        <f>H96+I96+J96+SUM(D488:D518)+K96+L96</f>
        <v>5259399</v>
      </c>
      <c r="N96" s="21">
        <v>1125000.0</v>
      </c>
      <c r="O96" s="12">
        <f t="shared" si="7"/>
        <v>166666.6667</v>
      </c>
      <c r="P96" s="21">
        <v>400000.0</v>
      </c>
      <c r="Q96" s="25">
        <v>0.0</v>
      </c>
      <c r="R96" s="25">
        <v>0.0</v>
      </c>
      <c r="S96" s="12">
        <f t="shared" si="16"/>
        <v>1691666.667</v>
      </c>
      <c r="T96" s="12">
        <f t="shared" si="5"/>
        <v>3567732.333</v>
      </c>
      <c r="U96" s="12">
        <f t="shared" si="8"/>
        <v>1783866.167</v>
      </c>
      <c r="V96" s="12">
        <f t="shared" si="19"/>
        <v>130938</v>
      </c>
      <c r="W96" s="22">
        <f t="shared" si="4"/>
        <v>1652928.167</v>
      </c>
      <c r="X96" s="29"/>
    </row>
    <row r="97">
      <c r="A97" s="10">
        <v>44325.0</v>
      </c>
      <c r="B97" s="20" t="s">
        <v>26</v>
      </c>
      <c r="C97" s="20" t="s">
        <v>91</v>
      </c>
      <c r="D97" s="21">
        <v>187000.0</v>
      </c>
      <c r="F97" s="17">
        <v>2028.0</v>
      </c>
      <c r="G97" s="20" t="s">
        <v>53</v>
      </c>
      <c r="H97" s="25">
        <v>0.0</v>
      </c>
      <c r="I97" s="25">
        <v>0.0</v>
      </c>
      <c r="J97" s="21">
        <v>760000.0</v>
      </c>
      <c r="K97" s="25">
        <v>0.0</v>
      </c>
      <c r="L97" s="25">
        <v>0.0</v>
      </c>
      <c r="M97" s="23">
        <f t="shared" ref="M97:M99" si="34">H97+I97+J97+SUM(D495:D519)+K97+L97</f>
        <v>3821568</v>
      </c>
      <c r="N97" s="21">
        <v>1125000.0</v>
      </c>
      <c r="O97" s="12">
        <f t="shared" si="7"/>
        <v>166666.6667</v>
      </c>
      <c r="P97" s="21">
        <v>400000.0</v>
      </c>
      <c r="Q97" s="25">
        <v>0.0</v>
      </c>
      <c r="R97" s="25">
        <v>0.0</v>
      </c>
      <c r="S97" s="12">
        <f t="shared" si="16"/>
        <v>1691666.667</v>
      </c>
      <c r="T97" s="12">
        <f t="shared" si="5"/>
        <v>2129901.333</v>
      </c>
      <c r="U97" s="12">
        <f t="shared" si="8"/>
        <v>1064950.667</v>
      </c>
      <c r="V97" s="12">
        <f t="shared" si="19"/>
        <v>130938</v>
      </c>
      <c r="W97" s="22">
        <f t="shared" si="4"/>
        <v>934012.6667</v>
      </c>
      <c r="X97" s="29"/>
    </row>
    <row r="98">
      <c r="A98" s="10">
        <v>44327.0</v>
      </c>
      <c r="B98" s="20" t="s">
        <v>30</v>
      </c>
      <c r="C98" s="20" t="s">
        <v>92</v>
      </c>
      <c r="D98" s="21">
        <v>58410.0</v>
      </c>
      <c r="F98" s="17">
        <v>2028.0</v>
      </c>
      <c r="G98" s="11" t="s">
        <v>55</v>
      </c>
      <c r="H98" s="25">
        <v>0.0</v>
      </c>
      <c r="I98" s="25">
        <v>0.0</v>
      </c>
      <c r="J98" s="21">
        <v>760000.0</v>
      </c>
      <c r="K98" s="25">
        <v>0.0</v>
      </c>
      <c r="L98" s="25">
        <v>0.0</v>
      </c>
      <c r="M98" s="23">
        <f t="shared" si="34"/>
        <v>3833604</v>
      </c>
      <c r="N98" s="21">
        <v>1125000.0</v>
      </c>
      <c r="O98" s="12">
        <f t="shared" si="7"/>
        <v>166666.6667</v>
      </c>
      <c r="P98" s="21">
        <v>400000.0</v>
      </c>
      <c r="Q98" s="25">
        <v>0.0</v>
      </c>
      <c r="R98" s="25">
        <v>0.0</v>
      </c>
      <c r="S98" s="12">
        <f t="shared" si="16"/>
        <v>1691666.667</v>
      </c>
      <c r="T98" s="12">
        <f t="shared" si="5"/>
        <v>2141937.333</v>
      </c>
      <c r="U98" s="12">
        <f t="shared" si="8"/>
        <v>1070968.667</v>
      </c>
      <c r="V98" s="12">
        <f t="shared" si="19"/>
        <v>130938</v>
      </c>
      <c r="W98" s="22">
        <f t="shared" si="4"/>
        <v>940030.6667</v>
      </c>
      <c r="X98" s="29"/>
    </row>
    <row r="99">
      <c r="A99" s="10">
        <v>44328.0</v>
      </c>
      <c r="B99" s="11" t="s">
        <v>64</v>
      </c>
      <c r="C99" s="20" t="s">
        <v>65</v>
      </c>
      <c r="D99" s="21">
        <v>76350.0</v>
      </c>
      <c r="F99" s="17">
        <v>2028.0</v>
      </c>
      <c r="G99" s="20" t="s">
        <v>56</v>
      </c>
      <c r="H99" s="25">
        <v>0.0</v>
      </c>
      <c r="I99" s="25">
        <v>0.0</v>
      </c>
      <c r="J99" s="21">
        <v>760000.0</v>
      </c>
      <c r="K99" s="25">
        <v>0.0</v>
      </c>
      <c r="L99" s="25">
        <v>0.0</v>
      </c>
      <c r="M99" s="23">
        <f t="shared" si="34"/>
        <v>3860194</v>
      </c>
      <c r="N99" s="21">
        <v>1125000.0</v>
      </c>
      <c r="O99" s="12">
        <f t="shared" si="7"/>
        <v>166666.6667</v>
      </c>
      <c r="P99" s="21">
        <v>400000.0</v>
      </c>
      <c r="Q99" s="25">
        <v>0.0</v>
      </c>
      <c r="R99" s="25">
        <v>0.0</v>
      </c>
      <c r="S99" s="12">
        <f t="shared" si="16"/>
        <v>1691666.667</v>
      </c>
      <c r="T99" s="12">
        <f t="shared" si="5"/>
        <v>2168527.333</v>
      </c>
      <c r="U99" s="12">
        <f t="shared" si="8"/>
        <v>1084263.667</v>
      </c>
      <c r="V99" s="12">
        <f t="shared" si="19"/>
        <v>130938</v>
      </c>
      <c r="W99" s="22">
        <f t="shared" si="4"/>
        <v>953325.6667</v>
      </c>
      <c r="X99" s="29"/>
    </row>
    <row r="100">
      <c r="A100" s="10">
        <v>44329.0</v>
      </c>
      <c r="B100" s="20" t="s">
        <v>26</v>
      </c>
      <c r="C100" s="20" t="s">
        <v>91</v>
      </c>
      <c r="D100" s="21">
        <v>24700.0</v>
      </c>
      <c r="J100" s="21"/>
      <c r="V100" s="29"/>
      <c r="W100" s="29"/>
      <c r="X100" s="29"/>
    </row>
    <row r="101">
      <c r="A101" s="10">
        <v>44329.0</v>
      </c>
      <c r="B101" s="20" t="s">
        <v>15</v>
      </c>
      <c r="C101" s="20" t="s">
        <v>16</v>
      </c>
      <c r="D101" s="21">
        <v>61006.0</v>
      </c>
      <c r="J101" s="21"/>
      <c r="V101" s="29"/>
      <c r="W101" s="29"/>
      <c r="X101" s="29"/>
    </row>
    <row r="102">
      <c r="A102" s="10">
        <v>44330.0</v>
      </c>
      <c r="B102" s="20" t="s">
        <v>30</v>
      </c>
      <c r="C102" s="20" t="s">
        <v>93</v>
      </c>
      <c r="D102" s="21">
        <v>145310.0</v>
      </c>
      <c r="J102" s="21"/>
      <c r="V102" s="29"/>
      <c r="W102" s="29"/>
      <c r="X102" s="29"/>
    </row>
    <row r="103">
      <c r="A103" s="10">
        <v>44331.0</v>
      </c>
      <c r="B103" s="20" t="s">
        <v>26</v>
      </c>
      <c r="C103" s="20" t="s">
        <v>91</v>
      </c>
      <c r="D103" s="21">
        <v>21000.0</v>
      </c>
      <c r="J103" s="21"/>
      <c r="V103" s="29"/>
      <c r="W103" s="29"/>
      <c r="X103" s="29"/>
    </row>
    <row r="104">
      <c r="A104" s="10">
        <v>44331.0</v>
      </c>
      <c r="B104" s="11" t="s">
        <v>64</v>
      </c>
      <c r="C104" s="20" t="s">
        <v>68</v>
      </c>
      <c r="D104" s="21">
        <v>116555.0</v>
      </c>
      <c r="J104" s="21"/>
      <c r="V104" s="29"/>
      <c r="W104" s="29"/>
      <c r="X104" s="29"/>
    </row>
    <row r="105">
      <c r="A105" s="10">
        <v>44332.0</v>
      </c>
      <c r="B105" s="20" t="s">
        <v>30</v>
      </c>
      <c r="C105" s="20" t="s">
        <v>36</v>
      </c>
      <c r="D105" s="21">
        <v>69340.0</v>
      </c>
      <c r="J105" s="21"/>
      <c r="V105" s="29"/>
      <c r="W105" s="29"/>
      <c r="X105" s="29"/>
    </row>
    <row r="106">
      <c r="A106" s="10">
        <v>44333.0</v>
      </c>
      <c r="B106" s="20" t="s">
        <v>15</v>
      </c>
      <c r="C106" s="20" t="s">
        <v>16</v>
      </c>
      <c r="D106" s="21">
        <v>60000.0</v>
      </c>
      <c r="V106" s="29"/>
      <c r="W106" s="29"/>
      <c r="X106" s="29"/>
    </row>
    <row r="107">
      <c r="A107" s="10">
        <v>44333.0</v>
      </c>
      <c r="B107" s="20" t="s">
        <v>30</v>
      </c>
      <c r="C107" s="20" t="s">
        <v>89</v>
      </c>
      <c r="D107" s="21">
        <v>162236.0</v>
      </c>
      <c r="V107" s="29"/>
      <c r="W107" s="29"/>
      <c r="X107" s="29"/>
    </row>
    <row r="108">
      <c r="A108" s="10">
        <v>44336.0</v>
      </c>
      <c r="B108" s="20" t="s">
        <v>15</v>
      </c>
      <c r="C108" s="20" t="s">
        <v>26</v>
      </c>
      <c r="D108" s="21">
        <v>200000.0</v>
      </c>
      <c r="V108" s="29"/>
      <c r="W108" s="29"/>
      <c r="X108" s="29"/>
    </row>
    <row r="109">
      <c r="A109" s="10">
        <v>44336.0</v>
      </c>
      <c r="B109" s="20" t="s">
        <v>26</v>
      </c>
      <c r="C109" s="20" t="s">
        <v>94</v>
      </c>
      <c r="D109" s="21">
        <v>85000.0</v>
      </c>
      <c r="V109" s="29"/>
      <c r="W109" s="29"/>
      <c r="X109" s="29"/>
    </row>
    <row r="110">
      <c r="A110" s="10">
        <v>44337.0</v>
      </c>
      <c r="B110" s="20" t="s">
        <v>26</v>
      </c>
      <c r="C110" s="20" t="s">
        <v>95</v>
      </c>
      <c r="D110" s="21">
        <v>134800.0</v>
      </c>
      <c r="V110" s="29"/>
      <c r="W110" s="29"/>
      <c r="X110" s="29"/>
    </row>
    <row r="111">
      <c r="A111" s="10">
        <v>44341.0</v>
      </c>
      <c r="B111" s="20" t="s">
        <v>30</v>
      </c>
      <c r="C111" s="20" t="s">
        <v>41</v>
      </c>
      <c r="D111" s="21">
        <v>83030.0</v>
      </c>
      <c r="V111" s="29"/>
      <c r="W111" s="29"/>
      <c r="X111" s="29"/>
    </row>
    <row r="112">
      <c r="A112" s="10">
        <v>44341.0</v>
      </c>
      <c r="B112" s="20" t="s">
        <v>15</v>
      </c>
      <c r="C112" s="20" t="s">
        <v>16</v>
      </c>
      <c r="D112" s="21">
        <v>71710.0</v>
      </c>
      <c r="V112" s="29"/>
      <c r="W112" s="29"/>
      <c r="X112" s="29"/>
    </row>
    <row r="113">
      <c r="A113" s="10">
        <v>44345.0</v>
      </c>
      <c r="B113" s="20" t="s">
        <v>30</v>
      </c>
      <c r="C113" s="20" t="s">
        <v>50</v>
      </c>
      <c r="D113" s="21">
        <v>84998.0</v>
      </c>
      <c r="V113" s="29"/>
      <c r="W113" s="29"/>
      <c r="X113" s="29"/>
    </row>
    <row r="114">
      <c r="A114" s="10">
        <v>44347.0</v>
      </c>
      <c r="B114" s="20" t="s">
        <v>30</v>
      </c>
      <c r="C114" s="20" t="s">
        <v>82</v>
      </c>
      <c r="D114" s="21">
        <v>85170.0</v>
      </c>
      <c r="V114" s="29"/>
      <c r="W114" s="29"/>
      <c r="X114" s="29"/>
    </row>
    <row r="115">
      <c r="A115" s="10">
        <v>44347.0</v>
      </c>
      <c r="B115" s="20" t="s">
        <v>15</v>
      </c>
      <c r="C115" s="20" t="s">
        <v>16</v>
      </c>
      <c r="D115" s="21">
        <v>65222.0</v>
      </c>
      <c r="V115" s="29"/>
      <c r="W115" s="29"/>
      <c r="X115" s="29"/>
    </row>
    <row r="116">
      <c r="A116" s="10">
        <v>44356.0</v>
      </c>
      <c r="B116" s="20" t="s">
        <v>30</v>
      </c>
      <c r="C116" s="20" t="s">
        <v>41</v>
      </c>
      <c r="D116" s="21">
        <v>63032.0</v>
      </c>
      <c r="V116" s="29"/>
      <c r="W116" s="29"/>
      <c r="X116" s="29"/>
    </row>
    <row r="117">
      <c r="A117" s="10">
        <v>44356.0</v>
      </c>
      <c r="B117" s="20" t="s">
        <v>30</v>
      </c>
      <c r="C117" s="20" t="s">
        <v>36</v>
      </c>
      <c r="D117" s="21">
        <v>80030.0</v>
      </c>
      <c r="V117" s="29"/>
      <c r="W117" s="29"/>
      <c r="X117" s="29"/>
    </row>
    <row r="118">
      <c r="A118" s="10">
        <v>44356.0</v>
      </c>
      <c r="B118" s="20" t="s">
        <v>30</v>
      </c>
      <c r="C118" s="20" t="s">
        <v>61</v>
      </c>
      <c r="D118" s="21">
        <v>63520.0</v>
      </c>
      <c r="V118" s="29"/>
      <c r="W118" s="29"/>
      <c r="X118" s="29"/>
    </row>
    <row r="119">
      <c r="A119" s="10">
        <v>44356.0</v>
      </c>
      <c r="B119" s="20" t="s">
        <v>15</v>
      </c>
      <c r="C119" s="20" t="s">
        <v>26</v>
      </c>
      <c r="D119" s="21">
        <v>200000.0</v>
      </c>
      <c r="V119" s="29"/>
      <c r="W119" s="29"/>
      <c r="X119" s="29"/>
    </row>
    <row r="120">
      <c r="A120" s="10">
        <v>44357.0</v>
      </c>
      <c r="B120" s="20" t="s">
        <v>30</v>
      </c>
      <c r="C120" s="20" t="s">
        <v>96</v>
      </c>
      <c r="D120" s="21">
        <v>13990.0</v>
      </c>
      <c r="V120" s="29"/>
      <c r="W120" s="29"/>
      <c r="X120" s="29"/>
    </row>
    <row r="121">
      <c r="A121" s="10">
        <v>44358.0</v>
      </c>
      <c r="B121" s="20" t="s">
        <v>30</v>
      </c>
      <c r="C121" s="20" t="s">
        <v>41</v>
      </c>
      <c r="D121" s="21">
        <v>33100.0</v>
      </c>
      <c r="V121" s="29"/>
      <c r="W121" s="29"/>
      <c r="X121" s="29"/>
    </row>
    <row r="122">
      <c r="A122" s="10">
        <v>44359.0</v>
      </c>
      <c r="B122" s="20" t="s">
        <v>30</v>
      </c>
      <c r="C122" s="20" t="s">
        <v>97</v>
      </c>
      <c r="D122" s="21">
        <v>36900.0</v>
      </c>
      <c r="V122" s="29"/>
      <c r="W122" s="29"/>
      <c r="X122" s="29"/>
    </row>
    <row r="123">
      <c r="A123" s="10">
        <v>44359.0</v>
      </c>
      <c r="B123" s="20" t="s">
        <v>64</v>
      </c>
      <c r="C123" s="20" t="s">
        <v>68</v>
      </c>
      <c r="D123" s="21">
        <v>116555.0</v>
      </c>
      <c r="V123" s="29"/>
      <c r="W123" s="29"/>
      <c r="X123" s="29"/>
    </row>
    <row r="124">
      <c r="A124" s="10">
        <v>44361.0</v>
      </c>
      <c r="B124" s="20" t="s">
        <v>15</v>
      </c>
      <c r="C124" s="20" t="s">
        <v>16</v>
      </c>
      <c r="D124" s="21">
        <v>30000.0</v>
      </c>
      <c r="V124" s="29"/>
      <c r="W124" s="29"/>
      <c r="X124" s="29"/>
    </row>
    <row r="125">
      <c r="A125" s="10">
        <v>44361.0</v>
      </c>
      <c r="B125" s="20" t="s">
        <v>30</v>
      </c>
      <c r="C125" s="20" t="s">
        <v>52</v>
      </c>
      <c r="D125" s="21">
        <v>97235.0</v>
      </c>
      <c r="V125" s="29"/>
      <c r="W125" s="29"/>
      <c r="X125" s="29"/>
    </row>
    <row r="126">
      <c r="A126" s="10">
        <v>44362.0</v>
      </c>
      <c r="B126" s="20" t="s">
        <v>64</v>
      </c>
      <c r="C126" s="20" t="s">
        <v>65</v>
      </c>
      <c r="D126" s="21">
        <v>83930.0</v>
      </c>
      <c r="V126" s="29"/>
      <c r="W126" s="29"/>
      <c r="X126" s="29"/>
    </row>
    <row r="127">
      <c r="A127" s="10">
        <v>44365.0</v>
      </c>
      <c r="B127" s="20" t="s">
        <v>30</v>
      </c>
      <c r="C127" s="20" t="s">
        <v>50</v>
      </c>
      <c r="D127" s="21">
        <f>67000/2</f>
        <v>33500</v>
      </c>
      <c r="V127" s="29"/>
      <c r="W127" s="29"/>
      <c r="X127" s="29"/>
    </row>
    <row r="128">
      <c r="A128" s="10">
        <v>44366.0</v>
      </c>
      <c r="B128" s="20" t="s">
        <v>30</v>
      </c>
      <c r="C128" s="20" t="s">
        <v>98</v>
      </c>
      <c r="D128" s="21">
        <v>20600.0</v>
      </c>
      <c r="V128" s="29"/>
      <c r="W128" s="29"/>
      <c r="X128" s="29"/>
    </row>
    <row r="129">
      <c r="A129" s="10">
        <v>44366.0</v>
      </c>
      <c r="B129" s="20" t="s">
        <v>15</v>
      </c>
      <c r="C129" s="20" t="s">
        <v>16</v>
      </c>
      <c r="D129" s="21">
        <v>72353.0</v>
      </c>
      <c r="V129" s="29"/>
      <c r="W129" s="29"/>
      <c r="X129" s="29"/>
    </row>
    <row r="130">
      <c r="A130" s="10">
        <v>44367.0</v>
      </c>
      <c r="B130" s="20" t="s">
        <v>30</v>
      </c>
      <c r="C130" s="20" t="s">
        <v>82</v>
      </c>
      <c r="D130" s="21">
        <v>150419.0</v>
      </c>
      <c r="V130" s="29"/>
      <c r="W130" s="29"/>
      <c r="X130" s="29"/>
    </row>
    <row r="131">
      <c r="A131" s="10">
        <v>44375.0</v>
      </c>
      <c r="B131" s="11" t="s">
        <v>64</v>
      </c>
      <c r="C131" s="20" t="s">
        <v>76</v>
      </c>
      <c r="D131" s="21">
        <v>163794.0</v>
      </c>
      <c r="V131" s="29"/>
      <c r="W131" s="29"/>
      <c r="X131" s="29"/>
    </row>
    <row r="132">
      <c r="A132" s="10">
        <v>44376.0</v>
      </c>
      <c r="B132" s="20" t="s">
        <v>15</v>
      </c>
      <c r="C132" s="20" t="s">
        <v>16</v>
      </c>
      <c r="D132" s="21">
        <v>70868.0</v>
      </c>
      <c r="V132" s="29"/>
      <c r="W132" s="29"/>
      <c r="X132" s="29"/>
    </row>
    <row r="133">
      <c r="A133" s="10">
        <v>44376.0</v>
      </c>
      <c r="B133" s="20" t="s">
        <v>30</v>
      </c>
      <c r="C133" s="20" t="s">
        <v>82</v>
      </c>
      <c r="D133" s="21">
        <v>51140.0</v>
      </c>
      <c r="V133" s="29"/>
      <c r="W133" s="29"/>
      <c r="X133" s="29"/>
    </row>
    <row r="134">
      <c r="A134" s="10">
        <v>44377.0</v>
      </c>
      <c r="B134" s="20" t="s">
        <v>30</v>
      </c>
      <c r="C134" s="20" t="s">
        <v>50</v>
      </c>
      <c r="D134" s="21">
        <v>42499.0</v>
      </c>
      <c r="V134" s="29"/>
      <c r="W134" s="29"/>
      <c r="X134" s="29"/>
    </row>
    <row r="135">
      <c r="A135" s="10">
        <v>44379.0</v>
      </c>
      <c r="B135" s="20" t="s">
        <v>26</v>
      </c>
      <c r="C135" s="20" t="s">
        <v>91</v>
      </c>
      <c r="D135" s="21">
        <v>49700.0</v>
      </c>
      <c r="V135" s="29"/>
      <c r="W135" s="29"/>
      <c r="X135" s="29"/>
    </row>
    <row r="136">
      <c r="A136" s="10">
        <v>44379.0</v>
      </c>
      <c r="B136" s="20" t="s">
        <v>26</v>
      </c>
      <c r="C136" s="20" t="s">
        <v>91</v>
      </c>
      <c r="D136" s="21">
        <v>119600.0</v>
      </c>
      <c r="V136" s="29"/>
      <c r="W136" s="29"/>
      <c r="X136" s="29"/>
    </row>
    <row r="137">
      <c r="A137" s="10">
        <v>44381.0</v>
      </c>
      <c r="B137" s="20" t="s">
        <v>15</v>
      </c>
      <c r="C137" s="20" t="s">
        <v>16</v>
      </c>
      <c r="D137" s="21">
        <v>69357.0</v>
      </c>
      <c r="V137" s="29"/>
      <c r="W137" s="29"/>
      <c r="X137" s="29"/>
    </row>
    <row r="138">
      <c r="A138" s="10">
        <v>44382.0</v>
      </c>
      <c r="B138" s="20" t="s">
        <v>15</v>
      </c>
      <c r="C138" s="20" t="s">
        <v>16</v>
      </c>
      <c r="D138" s="21">
        <v>30000.0</v>
      </c>
      <c r="V138" s="29"/>
      <c r="W138" s="29"/>
      <c r="X138" s="29"/>
    </row>
    <row r="139">
      <c r="A139" s="10">
        <v>44385.0</v>
      </c>
      <c r="B139" s="20" t="s">
        <v>26</v>
      </c>
      <c r="C139" s="20" t="s">
        <v>99</v>
      </c>
      <c r="D139" s="21">
        <v>25900.0</v>
      </c>
      <c r="V139" s="29"/>
      <c r="W139" s="29"/>
      <c r="X139" s="29"/>
    </row>
    <row r="140">
      <c r="A140" s="10">
        <v>44387.0</v>
      </c>
      <c r="B140" s="20" t="s">
        <v>64</v>
      </c>
      <c r="C140" s="20" t="s">
        <v>68</v>
      </c>
      <c r="D140" s="21">
        <v>116555.0</v>
      </c>
      <c r="V140" s="29"/>
      <c r="W140" s="29"/>
      <c r="X140" s="29"/>
    </row>
    <row r="141">
      <c r="A141" s="10">
        <v>44392.0</v>
      </c>
      <c r="B141" s="20" t="s">
        <v>30</v>
      </c>
      <c r="C141" s="20" t="s">
        <v>100</v>
      </c>
      <c r="D141" s="21">
        <v>87993.0</v>
      </c>
      <c r="V141" s="29"/>
      <c r="W141" s="29"/>
      <c r="X141" s="29"/>
    </row>
    <row r="142">
      <c r="A142" s="10">
        <v>44394.0</v>
      </c>
      <c r="B142" s="20" t="s">
        <v>15</v>
      </c>
      <c r="C142" s="20" t="s">
        <v>16</v>
      </c>
      <c r="D142" s="21">
        <v>73134.0</v>
      </c>
      <c r="V142" s="29"/>
      <c r="W142" s="29"/>
      <c r="X142" s="29"/>
    </row>
    <row r="143">
      <c r="A143" s="10">
        <v>44395.0</v>
      </c>
      <c r="B143" s="20" t="s">
        <v>30</v>
      </c>
      <c r="C143" s="20" t="s">
        <v>101</v>
      </c>
      <c r="D143" s="21">
        <v>43467.0</v>
      </c>
      <c r="V143" s="29"/>
      <c r="W143" s="29"/>
      <c r="X143" s="29"/>
    </row>
    <row r="144">
      <c r="A144" s="10">
        <v>44395.0</v>
      </c>
      <c r="B144" s="20" t="s">
        <v>26</v>
      </c>
      <c r="C144" s="20" t="s">
        <v>102</v>
      </c>
      <c r="D144" s="21">
        <v>205000.0</v>
      </c>
      <c r="V144" s="29"/>
      <c r="W144" s="29"/>
      <c r="X144" s="29"/>
    </row>
    <row r="145">
      <c r="A145" s="10">
        <v>44397.0</v>
      </c>
      <c r="B145" s="20" t="s">
        <v>26</v>
      </c>
      <c r="C145" s="20" t="s">
        <v>54</v>
      </c>
      <c r="D145" s="21">
        <f>521700-159900-54900</f>
        <v>306900</v>
      </c>
      <c r="V145" s="29"/>
      <c r="W145" s="29"/>
      <c r="X145" s="29"/>
    </row>
    <row r="146">
      <c r="A146" s="10">
        <v>44397.0</v>
      </c>
      <c r="B146" s="20" t="s">
        <v>15</v>
      </c>
      <c r="C146" s="20" t="s">
        <v>26</v>
      </c>
      <c r="D146" s="21">
        <v>200000.0</v>
      </c>
      <c r="V146" s="29"/>
      <c r="W146" s="29"/>
      <c r="X146" s="29"/>
    </row>
    <row r="147">
      <c r="A147" s="10">
        <v>44397.0</v>
      </c>
      <c r="B147" s="20" t="s">
        <v>30</v>
      </c>
      <c r="C147" s="20" t="s">
        <v>36</v>
      </c>
      <c r="D147" s="21">
        <f>269240</f>
        <v>269240</v>
      </c>
      <c r="V147" s="29"/>
      <c r="W147" s="29"/>
      <c r="X147" s="29"/>
    </row>
    <row r="148">
      <c r="A148" s="10">
        <v>44397.0</v>
      </c>
      <c r="B148" s="20" t="s">
        <v>26</v>
      </c>
      <c r="C148" s="20" t="s">
        <v>103</v>
      </c>
      <c r="D148" s="21">
        <f>588000/2</f>
        <v>294000</v>
      </c>
      <c r="V148" s="29"/>
      <c r="W148" s="29"/>
      <c r="X148" s="29"/>
    </row>
    <row r="149">
      <c r="A149" s="10">
        <v>44400.0</v>
      </c>
      <c r="B149" s="20" t="s">
        <v>26</v>
      </c>
      <c r="C149" s="20" t="s">
        <v>104</v>
      </c>
      <c r="D149" s="21">
        <f>44900</f>
        <v>44900</v>
      </c>
      <c r="V149" s="29"/>
      <c r="W149" s="29"/>
      <c r="X149" s="29"/>
    </row>
    <row r="150">
      <c r="A150" s="10">
        <v>44402.0</v>
      </c>
      <c r="B150" s="20" t="s">
        <v>30</v>
      </c>
      <c r="C150" s="20" t="s">
        <v>82</v>
      </c>
      <c r="D150" s="21">
        <v>160267.0</v>
      </c>
      <c r="V150" s="29"/>
      <c r="W150" s="29"/>
      <c r="X150" s="29"/>
    </row>
    <row r="151">
      <c r="A151" s="10">
        <v>44404.0</v>
      </c>
      <c r="B151" s="20" t="s">
        <v>30</v>
      </c>
      <c r="C151" s="20" t="s">
        <v>82</v>
      </c>
      <c r="D151" s="21">
        <v>30200.0</v>
      </c>
      <c r="V151" s="29"/>
      <c r="W151" s="29"/>
      <c r="X151" s="29"/>
    </row>
    <row r="152">
      <c r="A152" s="10">
        <v>44404.0</v>
      </c>
      <c r="B152" s="20" t="s">
        <v>15</v>
      </c>
      <c r="C152" s="20" t="s">
        <v>16</v>
      </c>
      <c r="D152" s="21">
        <v>73134.0</v>
      </c>
      <c r="V152" s="29"/>
      <c r="W152" s="29"/>
      <c r="X152" s="29"/>
    </row>
    <row r="153">
      <c r="A153" s="10">
        <v>44406.0</v>
      </c>
      <c r="B153" s="20" t="s">
        <v>30</v>
      </c>
      <c r="C153" s="20" t="s">
        <v>80</v>
      </c>
      <c r="D153" s="21">
        <v>42999.0</v>
      </c>
      <c r="V153" s="29"/>
      <c r="W153" s="29"/>
      <c r="X153" s="29"/>
    </row>
    <row r="154">
      <c r="A154" s="10">
        <v>44406.0</v>
      </c>
      <c r="B154" s="20" t="s">
        <v>30</v>
      </c>
      <c r="C154" s="20" t="s">
        <v>41</v>
      </c>
      <c r="D154" s="21">
        <v>73866.0</v>
      </c>
      <c r="V154" s="29"/>
      <c r="W154" s="29"/>
      <c r="X154" s="29"/>
    </row>
    <row r="155">
      <c r="A155" s="10">
        <v>44409.0</v>
      </c>
      <c r="B155" s="20" t="s">
        <v>26</v>
      </c>
      <c r="C155" s="20" t="s">
        <v>105</v>
      </c>
      <c r="D155" s="21">
        <f>22700*3</f>
        <v>68100</v>
      </c>
      <c r="V155" s="29"/>
      <c r="W155" s="29"/>
      <c r="X155" s="29"/>
    </row>
    <row r="156">
      <c r="A156" s="10">
        <v>44411.0</v>
      </c>
      <c r="B156" s="20" t="s">
        <v>15</v>
      </c>
      <c r="C156" s="20" t="s">
        <v>16</v>
      </c>
      <c r="D156" s="21">
        <v>80011.0</v>
      </c>
      <c r="V156" s="29"/>
      <c r="W156" s="29"/>
      <c r="X156" s="29"/>
    </row>
    <row r="157">
      <c r="A157" s="10">
        <v>44411.0</v>
      </c>
      <c r="B157" s="20" t="s">
        <v>30</v>
      </c>
      <c r="C157" s="20" t="s">
        <v>61</v>
      </c>
      <c r="D157" s="21">
        <v>38150.0</v>
      </c>
      <c r="V157" s="29"/>
      <c r="W157" s="29"/>
      <c r="X157" s="29"/>
    </row>
    <row r="158">
      <c r="A158" s="10">
        <v>44416.0</v>
      </c>
      <c r="B158" s="20" t="s">
        <v>30</v>
      </c>
      <c r="C158" s="20" t="s">
        <v>41</v>
      </c>
      <c r="D158" s="21">
        <v>24900.0</v>
      </c>
      <c r="V158" s="29"/>
      <c r="W158" s="29"/>
      <c r="X158" s="29"/>
    </row>
    <row r="159">
      <c r="A159" s="10">
        <v>44417.0</v>
      </c>
      <c r="B159" s="20" t="s">
        <v>64</v>
      </c>
      <c r="C159" s="20" t="s">
        <v>68</v>
      </c>
      <c r="D159" s="21">
        <v>116555.0</v>
      </c>
      <c r="V159" s="29"/>
      <c r="W159" s="29"/>
      <c r="X159" s="29"/>
    </row>
    <row r="160">
      <c r="A160" s="10">
        <v>44417.0</v>
      </c>
      <c r="B160" s="20" t="s">
        <v>26</v>
      </c>
      <c r="C160" s="20" t="s">
        <v>103</v>
      </c>
      <c r="D160" s="21">
        <f>588000/2</f>
        <v>294000</v>
      </c>
      <c r="V160" s="29"/>
      <c r="W160" s="29"/>
      <c r="X160" s="29"/>
    </row>
    <row r="161">
      <c r="A161" s="10">
        <v>44417.0</v>
      </c>
      <c r="B161" s="20" t="s">
        <v>15</v>
      </c>
      <c r="C161" s="20" t="s">
        <v>26</v>
      </c>
      <c r="D161" s="21">
        <v>200000.0</v>
      </c>
      <c r="V161" s="29"/>
      <c r="W161" s="29"/>
      <c r="X161" s="29"/>
    </row>
    <row r="162">
      <c r="A162" s="10">
        <v>44417.0</v>
      </c>
      <c r="B162" s="20" t="s">
        <v>26</v>
      </c>
      <c r="C162" s="20" t="s">
        <v>106</v>
      </c>
      <c r="D162" s="21">
        <v>45000.0</v>
      </c>
      <c r="V162" s="29"/>
      <c r="W162" s="29"/>
      <c r="X162" s="29"/>
    </row>
    <row r="163">
      <c r="A163" s="10">
        <v>44418.0</v>
      </c>
      <c r="B163" s="20" t="s">
        <v>15</v>
      </c>
      <c r="C163" s="20" t="s">
        <v>16</v>
      </c>
      <c r="D163" s="21">
        <v>72753.0</v>
      </c>
      <c r="V163" s="29"/>
      <c r="W163" s="29"/>
      <c r="X163" s="29"/>
    </row>
    <row r="164">
      <c r="A164" s="10">
        <v>44420.0</v>
      </c>
      <c r="B164" s="20" t="s">
        <v>30</v>
      </c>
      <c r="C164" s="20" t="s">
        <v>61</v>
      </c>
      <c r="D164" s="21">
        <v>27600.0</v>
      </c>
      <c r="V164" s="29"/>
      <c r="W164" s="29"/>
      <c r="X164" s="29"/>
    </row>
    <row r="165">
      <c r="A165" s="10">
        <v>44420.0</v>
      </c>
      <c r="B165" s="20" t="s">
        <v>30</v>
      </c>
      <c r="C165" s="20" t="s">
        <v>50</v>
      </c>
      <c r="D165" s="21">
        <f>139011</f>
        <v>139011</v>
      </c>
      <c r="V165" s="29"/>
      <c r="W165" s="29"/>
      <c r="X165" s="29"/>
    </row>
    <row r="166">
      <c r="A166" s="10">
        <v>44421.0</v>
      </c>
      <c r="B166" s="20" t="s">
        <v>15</v>
      </c>
      <c r="C166" s="20" t="s">
        <v>16</v>
      </c>
      <c r="D166" s="21">
        <v>48000.0</v>
      </c>
      <c r="V166" s="29"/>
      <c r="W166" s="29"/>
      <c r="X166" s="29"/>
    </row>
    <row r="167">
      <c r="A167" s="10">
        <v>44426.0</v>
      </c>
      <c r="B167" s="20" t="s">
        <v>30</v>
      </c>
      <c r="C167" s="20" t="s">
        <v>89</v>
      </c>
      <c r="D167" s="21">
        <v>372737.0</v>
      </c>
      <c r="V167" s="29"/>
      <c r="W167" s="29"/>
      <c r="X167" s="29"/>
    </row>
    <row r="168">
      <c r="A168" s="10">
        <v>44427.0</v>
      </c>
      <c r="B168" s="20" t="s">
        <v>30</v>
      </c>
      <c r="C168" s="20" t="s">
        <v>107</v>
      </c>
      <c r="D168" s="21">
        <v>110700.0</v>
      </c>
      <c r="V168" s="29"/>
      <c r="W168" s="29"/>
      <c r="X168" s="29"/>
    </row>
    <row r="169">
      <c r="A169" s="10">
        <v>44429.0</v>
      </c>
      <c r="B169" s="20" t="s">
        <v>30</v>
      </c>
      <c r="C169" s="20" t="s">
        <v>108</v>
      </c>
      <c r="D169" s="21">
        <v>91334.0</v>
      </c>
      <c r="V169" s="29"/>
      <c r="W169" s="29"/>
      <c r="X169" s="29"/>
    </row>
    <row r="170">
      <c r="A170" s="10">
        <v>44430.0</v>
      </c>
      <c r="B170" s="20" t="s">
        <v>15</v>
      </c>
      <c r="C170" s="20" t="s">
        <v>109</v>
      </c>
      <c r="D170" s="21">
        <v>23000.0</v>
      </c>
      <c r="V170" s="29"/>
      <c r="W170" s="29"/>
      <c r="X170" s="29"/>
    </row>
    <row r="171">
      <c r="A171" s="10">
        <v>44431.0</v>
      </c>
      <c r="B171" s="20" t="s">
        <v>26</v>
      </c>
      <c r="C171" s="20" t="s">
        <v>110</v>
      </c>
      <c r="D171" s="21">
        <v>76220.0</v>
      </c>
      <c r="V171" s="29"/>
      <c r="W171" s="29"/>
      <c r="X171" s="29"/>
    </row>
    <row r="172">
      <c r="A172" s="10">
        <v>44432.0</v>
      </c>
      <c r="B172" s="20" t="s">
        <v>30</v>
      </c>
      <c r="C172" s="20" t="s">
        <v>108</v>
      </c>
      <c r="D172" s="21">
        <v>106851.0</v>
      </c>
      <c r="V172" s="29"/>
      <c r="W172" s="29"/>
      <c r="X172" s="29"/>
    </row>
    <row r="173">
      <c r="A173" s="10">
        <v>44432.0</v>
      </c>
      <c r="B173" s="20" t="s">
        <v>30</v>
      </c>
      <c r="C173" s="20" t="s">
        <v>50</v>
      </c>
      <c r="D173" s="21">
        <v>47000.0</v>
      </c>
      <c r="V173" s="29"/>
      <c r="W173" s="29"/>
      <c r="X173" s="29"/>
    </row>
    <row r="174">
      <c r="A174" s="10">
        <v>44436.0</v>
      </c>
      <c r="B174" s="20" t="s">
        <v>15</v>
      </c>
      <c r="C174" s="20" t="s">
        <v>16</v>
      </c>
      <c r="D174" s="21">
        <v>76200.0</v>
      </c>
      <c r="V174" s="29"/>
      <c r="W174" s="29"/>
      <c r="X174" s="29"/>
    </row>
    <row r="175">
      <c r="A175" s="10">
        <v>44437.0</v>
      </c>
      <c r="B175" s="20" t="s">
        <v>30</v>
      </c>
      <c r="C175" s="20" t="s">
        <v>86</v>
      </c>
      <c r="D175" s="21">
        <v>184854.0</v>
      </c>
      <c r="V175" s="29"/>
      <c r="W175" s="29"/>
      <c r="X175" s="29"/>
    </row>
    <row r="176">
      <c r="A176" s="10">
        <v>44439.0</v>
      </c>
      <c r="B176" s="20" t="s">
        <v>26</v>
      </c>
      <c r="C176" s="20" t="s">
        <v>111</v>
      </c>
      <c r="D176" s="21">
        <v>184854.0</v>
      </c>
      <c r="V176" s="29"/>
      <c r="W176" s="29"/>
      <c r="X176" s="29"/>
    </row>
    <row r="177">
      <c r="A177" s="10">
        <v>44440.0</v>
      </c>
      <c r="B177" s="20" t="s">
        <v>64</v>
      </c>
      <c r="C177" s="20" t="s">
        <v>68</v>
      </c>
      <c r="D177" s="21">
        <v>167922.0</v>
      </c>
      <c r="V177" s="29"/>
      <c r="W177" s="29"/>
      <c r="X177" s="29"/>
    </row>
    <row r="178">
      <c r="A178" s="10">
        <v>44441.0</v>
      </c>
      <c r="B178" s="20" t="s">
        <v>15</v>
      </c>
      <c r="C178" s="20" t="s">
        <v>112</v>
      </c>
      <c r="D178" s="21">
        <v>70000.0</v>
      </c>
      <c r="V178" s="29"/>
      <c r="W178" s="29"/>
      <c r="X178" s="29"/>
    </row>
    <row r="179">
      <c r="A179" s="10">
        <v>44444.0</v>
      </c>
      <c r="B179" s="20" t="s">
        <v>15</v>
      </c>
      <c r="C179" s="20" t="s">
        <v>16</v>
      </c>
      <c r="D179" s="21">
        <v>126100.0</v>
      </c>
      <c r="V179" s="29"/>
      <c r="W179" s="29"/>
      <c r="X179" s="29"/>
    </row>
    <row r="180">
      <c r="A180" s="10">
        <v>44448.0</v>
      </c>
      <c r="B180" s="20" t="s">
        <v>30</v>
      </c>
      <c r="C180" s="20" t="s">
        <v>50</v>
      </c>
      <c r="D180" s="21">
        <v>70000.0</v>
      </c>
      <c r="V180" s="29"/>
      <c r="W180" s="29"/>
      <c r="X180" s="29"/>
    </row>
    <row r="181">
      <c r="A181" s="10">
        <v>44450.0</v>
      </c>
      <c r="B181" s="20" t="s">
        <v>26</v>
      </c>
      <c r="C181" s="20" t="s">
        <v>113</v>
      </c>
      <c r="D181" s="21">
        <v>13000.0</v>
      </c>
      <c r="V181" s="29"/>
      <c r="W181" s="29"/>
      <c r="X181" s="29"/>
    </row>
    <row r="182">
      <c r="A182" s="10">
        <v>44453.0</v>
      </c>
      <c r="B182" s="20" t="s">
        <v>26</v>
      </c>
      <c r="C182" s="20" t="s">
        <v>114</v>
      </c>
      <c r="D182" s="21">
        <v>180000.0</v>
      </c>
      <c r="V182" s="29"/>
      <c r="W182" s="29"/>
      <c r="X182" s="29"/>
    </row>
    <row r="183">
      <c r="A183" s="10">
        <v>44453.0</v>
      </c>
      <c r="B183" s="20" t="s">
        <v>26</v>
      </c>
      <c r="C183" s="20" t="s">
        <v>115</v>
      </c>
      <c r="D183" s="21">
        <v>403000.0</v>
      </c>
      <c r="V183" s="29"/>
      <c r="W183" s="29"/>
      <c r="X183" s="29"/>
    </row>
    <row r="184">
      <c r="A184" s="10">
        <v>44453.0</v>
      </c>
      <c r="B184" s="20" t="s">
        <v>30</v>
      </c>
      <c r="C184" s="20" t="s">
        <v>89</v>
      </c>
      <c r="D184" s="21">
        <v>183757.0</v>
      </c>
      <c r="V184" s="29"/>
      <c r="W184" s="29"/>
      <c r="X184" s="29"/>
    </row>
    <row r="185">
      <c r="A185" s="10">
        <v>44453.0</v>
      </c>
      <c r="B185" s="20" t="s">
        <v>15</v>
      </c>
      <c r="C185" s="20" t="s">
        <v>16</v>
      </c>
      <c r="D185" s="21">
        <v>71314.0</v>
      </c>
      <c r="V185" s="29"/>
      <c r="W185" s="29"/>
      <c r="X185" s="29"/>
    </row>
    <row r="186">
      <c r="A186" s="10">
        <v>44453.0</v>
      </c>
      <c r="B186" s="20" t="s">
        <v>30</v>
      </c>
      <c r="C186" s="20" t="s">
        <v>46</v>
      </c>
      <c r="D186" s="21">
        <v>11750.0</v>
      </c>
      <c r="V186" s="29"/>
      <c r="W186" s="29"/>
      <c r="X186" s="29"/>
    </row>
    <row r="187">
      <c r="A187" s="10">
        <v>44456.0</v>
      </c>
      <c r="B187" s="20" t="s">
        <v>30</v>
      </c>
      <c r="C187" s="20" t="s">
        <v>36</v>
      </c>
      <c r="D187" s="21">
        <v>68370.0</v>
      </c>
      <c r="V187" s="29"/>
      <c r="W187" s="29"/>
      <c r="X187" s="29"/>
    </row>
    <row r="188">
      <c r="A188" s="10">
        <v>44459.0</v>
      </c>
      <c r="B188" s="20" t="s">
        <v>15</v>
      </c>
      <c r="C188" s="20" t="s">
        <v>16</v>
      </c>
      <c r="D188" s="21">
        <v>76698.0</v>
      </c>
      <c r="V188" s="29"/>
      <c r="W188" s="29"/>
      <c r="X188" s="29"/>
    </row>
    <row r="189">
      <c r="A189" s="10">
        <v>44468.0</v>
      </c>
      <c r="B189" s="20" t="s">
        <v>30</v>
      </c>
      <c r="C189" s="20" t="s">
        <v>36</v>
      </c>
      <c r="D189" s="21">
        <v>113960.0</v>
      </c>
      <c r="V189" s="29"/>
      <c r="W189" s="29"/>
      <c r="X189" s="29"/>
    </row>
    <row r="190">
      <c r="A190" s="10">
        <v>44468.0</v>
      </c>
      <c r="B190" s="20" t="s">
        <v>30</v>
      </c>
      <c r="C190" s="20" t="s">
        <v>86</v>
      </c>
      <c r="D190" s="21">
        <v>148733.0</v>
      </c>
      <c r="V190" s="29"/>
      <c r="W190" s="29"/>
      <c r="X190" s="29"/>
    </row>
    <row r="191">
      <c r="A191" s="10">
        <v>44468.0</v>
      </c>
      <c r="B191" s="20" t="s">
        <v>15</v>
      </c>
      <c r="C191" s="20" t="s">
        <v>16</v>
      </c>
      <c r="D191" s="21">
        <v>76130.0</v>
      </c>
      <c r="V191" s="29"/>
      <c r="W191" s="29"/>
      <c r="X191" s="29"/>
    </row>
    <row r="192">
      <c r="A192" s="10">
        <v>44472.0</v>
      </c>
      <c r="B192" s="11" t="s">
        <v>64</v>
      </c>
      <c r="C192" s="11" t="s">
        <v>78</v>
      </c>
      <c r="D192" s="21">
        <v>265000.0</v>
      </c>
      <c r="V192" s="29"/>
      <c r="W192" s="29"/>
      <c r="X192" s="29"/>
    </row>
    <row r="193">
      <c r="A193" s="10">
        <v>44476.0</v>
      </c>
      <c r="B193" s="20" t="s">
        <v>30</v>
      </c>
      <c r="C193" s="20" t="s">
        <v>86</v>
      </c>
      <c r="D193" s="21">
        <v>111199.0</v>
      </c>
      <c r="V193" s="29"/>
      <c r="W193" s="29"/>
      <c r="X193" s="29"/>
    </row>
    <row r="194">
      <c r="A194" s="10">
        <v>44481.0</v>
      </c>
      <c r="B194" s="20" t="s">
        <v>30</v>
      </c>
      <c r="C194" s="20" t="s">
        <v>89</v>
      </c>
      <c r="D194" s="21">
        <v>194434.0</v>
      </c>
      <c r="V194" s="29"/>
      <c r="W194" s="29"/>
      <c r="X194" s="29"/>
    </row>
    <row r="195">
      <c r="A195" s="10">
        <v>44481.0</v>
      </c>
      <c r="B195" s="20" t="s">
        <v>26</v>
      </c>
      <c r="C195" s="20" t="s">
        <v>104</v>
      </c>
      <c r="D195" s="21">
        <v>42900.0</v>
      </c>
      <c r="V195" s="29"/>
      <c r="W195" s="29"/>
      <c r="X195" s="29"/>
    </row>
    <row r="196">
      <c r="A196" s="10">
        <v>44481.0</v>
      </c>
      <c r="B196" s="20" t="s">
        <v>15</v>
      </c>
      <c r="C196" s="20" t="s">
        <v>16</v>
      </c>
      <c r="D196" s="21">
        <v>81074.0</v>
      </c>
      <c r="V196" s="29"/>
      <c r="W196" s="29"/>
      <c r="X196" s="29"/>
    </row>
    <row r="197">
      <c r="A197" s="10">
        <v>44482.0</v>
      </c>
      <c r="B197" s="20" t="s">
        <v>26</v>
      </c>
      <c r="C197" s="20" t="s">
        <v>116</v>
      </c>
      <c r="D197" s="21">
        <v>192000.0</v>
      </c>
      <c r="V197" s="29"/>
      <c r="W197" s="29"/>
      <c r="X197" s="29"/>
    </row>
    <row r="198">
      <c r="A198" s="10">
        <v>44487.0</v>
      </c>
      <c r="B198" s="20" t="s">
        <v>30</v>
      </c>
      <c r="C198" s="20" t="s">
        <v>117</v>
      </c>
      <c r="D198" s="21">
        <v>93500.0</v>
      </c>
      <c r="V198" s="29"/>
      <c r="W198" s="29"/>
      <c r="X198" s="29"/>
    </row>
    <row r="199">
      <c r="A199" s="10">
        <v>44487.0</v>
      </c>
      <c r="B199" s="20" t="s">
        <v>15</v>
      </c>
      <c r="C199" s="20" t="s">
        <v>26</v>
      </c>
      <c r="D199" s="21">
        <v>200000.0</v>
      </c>
      <c r="V199" s="29"/>
      <c r="W199" s="29"/>
      <c r="X199" s="29"/>
    </row>
    <row r="200">
      <c r="A200" s="10">
        <v>44488.0</v>
      </c>
      <c r="B200" s="20" t="s">
        <v>15</v>
      </c>
      <c r="C200" s="20" t="s">
        <v>16</v>
      </c>
      <c r="D200" s="21">
        <v>67583.0</v>
      </c>
      <c r="V200" s="29"/>
      <c r="W200" s="29"/>
      <c r="X200" s="29"/>
    </row>
    <row r="201">
      <c r="A201" s="10">
        <v>44488.0</v>
      </c>
      <c r="B201" s="20" t="s">
        <v>15</v>
      </c>
      <c r="C201" s="20" t="s">
        <v>16</v>
      </c>
      <c r="D201" s="21">
        <v>27900.0</v>
      </c>
      <c r="V201" s="29"/>
      <c r="W201" s="29"/>
      <c r="X201" s="29"/>
    </row>
    <row r="202">
      <c r="A202" s="10">
        <v>44489.0</v>
      </c>
      <c r="B202" s="20" t="s">
        <v>30</v>
      </c>
      <c r="C202" s="20" t="s">
        <v>108</v>
      </c>
      <c r="D202" s="21">
        <v>45077.0</v>
      </c>
      <c r="V202" s="29"/>
      <c r="W202" s="29"/>
      <c r="X202" s="29"/>
    </row>
    <row r="203">
      <c r="A203" s="10">
        <v>44493.0</v>
      </c>
      <c r="B203" s="20" t="s">
        <v>15</v>
      </c>
      <c r="C203" s="20" t="s">
        <v>16</v>
      </c>
      <c r="D203" s="21">
        <v>66066.0</v>
      </c>
      <c r="V203" s="29"/>
      <c r="W203" s="29"/>
      <c r="X203" s="29"/>
    </row>
    <row r="204">
      <c r="A204" s="10">
        <v>44493.0</v>
      </c>
      <c r="B204" s="20" t="s">
        <v>30</v>
      </c>
      <c r="C204" s="20" t="s">
        <v>50</v>
      </c>
      <c r="D204" s="21">
        <v>68740.0</v>
      </c>
      <c r="V204" s="29"/>
      <c r="W204" s="29"/>
      <c r="X204" s="29"/>
    </row>
    <row r="205">
      <c r="A205" s="10">
        <v>44493.0</v>
      </c>
      <c r="B205" s="20" t="s">
        <v>26</v>
      </c>
      <c r="C205" s="20" t="s">
        <v>118</v>
      </c>
      <c r="D205" s="21">
        <v>94600.0</v>
      </c>
      <c r="V205" s="29"/>
      <c r="W205" s="29"/>
      <c r="X205" s="29"/>
    </row>
    <row r="206">
      <c r="A206" s="10">
        <v>44496.0</v>
      </c>
      <c r="B206" s="20" t="s">
        <v>15</v>
      </c>
      <c r="C206" s="20" t="s">
        <v>16</v>
      </c>
      <c r="D206" s="21">
        <v>67574.0</v>
      </c>
      <c r="V206" s="29"/>
      <c r="W206" s="29"/>
      <c r="X206" s="29"/>
    </row>
    <row r="207">
      <c r="A207" s="10">
        <v>44496.0</v>
      </c>
      <c r="B207" s="11" t="s">
        <v>64</v>
      </c>
      <c r="C207" s="11" t="s">
        <v>78</v>
      </c>
      <c r="D207" s="21">
        <v>67574.0</v>
      </c>
      <c r="V207" s="29"/>
      <c r="W207" s="29"/>
      <c r="X207" s="29"/>
    </row>
    <row r="208">
      <c r="A208" s="10">
        <v>44502.0</v>
      </c>
      <c r="B208" s="11" t="s">
        <v>64</v>
      </c>
      <c r="C208" s="20" t="s">
        <v>68</v>
      </c>
      <c r="D208" s="21">
        <v>117500.0</v>
      </c>
      <c r="V208" s="29"/>
      <c r="W208" s="29"/>
      <c r="X208" s="29"/>
    </row>
    <row r="209">
      <c r="A209" s="10">
        <v>44502.0</v>
      </c>
      <c r="B209" s="20" t="s">
        <v>30</v>
      </c>
      <c r="C209" s="20" t="s">
        <v>50</v>
      </c>
      <c r="D209" s="21">
        <v>78259.0</v>
      </c>
      <c r="V209" s="29"/>
      <c r="W209" s="29"/>
      <c r="X209" s="29"/>
    </row>
    <row r="210">
      <c r="A210" s="10">
        <v>44502.0</v>
      </c>
      <c r="B210" s="20" t="s">
        <v>30</v>
      </c>
      <c r="C210" s="20" t="s">
        <v>89</v>
      </c>
      <c r="D210" s="21">
        <v>341163.0</v>
      </c>
      <c r="V210" s="29"/>
      <c r="W210" s="29"/>
      <c r="X210" s="29"/>
    </row>
    <row r="211">
      <c r="A211" s="10">
        <v>44502.0</v>
      </c>
      <c r="B211" s="20" t="s">
        <v>30</v>
      </c>
      <c r="C211" s="20" t="s">
        <v>101</v>
      </c>
      <c r="D211" s="21">
        <v>14576.0</v>
      </c>
      <c r="V211" s="29"/>
      <c r="W211" s="29"/>
      <c r="X211" s="29"/>
    </row>
    <row r="212">
      <c r="A212" s="10">
        <v>44505.0</v>
      </c>
      <c r="B212" s="11" t="s">
        <v>64</v>
      </c>
      <c r="C212" s="20" t="s">
        <v>76</v>
      </c>
      <c r="D212" s="21">
        <f>253650+128811</f>
        <v>382461</v>
      </c>
      <c r="V212" s="29"/>
      <c r="W212" s="29"/>
      <c r="X212" s="29"/>
    </row>
    <row r="213">
      <c r="A213" s="10">
        <v>44506.0</v>
      </c>
      <c r="B213" s="20" t="s">
        <v>30</v>
      </c>
      <c r="C213" s="20" t="s">
        <v>119</v>
      </c>
      <c r="D213" s="21">
        <v>27903.0</v>
      </c>
      <c r="V213" s="29"/>
      <c r="W213" s="29"/>
      <c r="X213" s="29"/>
    </row>
    <row r="214">
      <c r="A214" s="10">
        <v>44515.0</v>
      </c>
      <c r="B214" s="20" t="s">
        <v>15</v>
      </c>
      <c r="C214" s="20" t="s">
        <v>16</v>
      </c>
      <c r="D214" s="21">
        <v>74568.0</v>
      </c>
      <c r="V214" s="29"/>
      <c r="W214" s="29"/>
      <c r="X214" s="29"/>
    </row>
    <row r="215">
      <c r="A215" s="10">
        <v>44517.0</v>
      </c>
      <c r="B215" s="11" t="s">
        <v>64</v>
      </c>
      <c r="C215" s="20" t="s">
        <v>68</v>
      </c>
      <c r="D215" s="21">
        <v>236045.0</v>
      </c>
      <c r="V215" s="29"/>
      <c r="W215" s="29"/>
      <c r="X215" s="29"/>
    </row>
    <row r="216">
      <c r="A216" s="10">
        <v>44522.0</v>
      </c>
      <c r="B216" s="20" t="s">
        <v>30</v>
      </c>
      <c r="C216" s="20" t="s">
        <v>108</v>
      </c>
      <c r="D216" s="21">
        <v>34081.0</v>
      </c>
      <c r="V216" s="29"/>
      <c r="W216" s="29"/>
      <c r="X216" s="29"/>
    </row>
    <row r="217">
      <c r="A217" s="10">
        <v>44522.0</v>
      </c>
      <c r="B217" s="20" t="s">
        <v>30</v>
      </c>
      <c r="C217" s="20" t="s">
        <v>83</v>
      </c>
      <c r="D217" s="21">
        <v>31800.0</v>
      </c>
      <c r="V217" s="29"/>
      <c r="W217" s="29"/>
      <c r="X217" s="29"/>
    </row>
    <row r="218">
      <c r="A218" s="10">
        <v>44525.0</v>
      </c>
      <c r="B218" s="20" t="s">
        <v>15</v>
      </c>
      <c r="C218" s="20" t="s">
        <v>16</v>
      </c>
      <c r="D218" s="21">
        <v>77554.0</v>
      </c>
      <c r="V218" s="29"/>
      <c r="W218" s="29"/>
      <c r="X218" s="29"/>
    </row>
    <row r="219">
      <c r="A219" s="10">
        <v>44528.0</v>
      </c>
      <c r="B219" s="20" t="s">
        <v>30</v>
      </c>
      <c r="C219" s="20" t="s">
        <v>108</v>
      </c>
      <c r="D219" s="21">
        <v>15151.0</v>
      </c>
      <c r="V219" s="29"/>
      <c r="W219" s="29"/>
      <c r="X219" s="29"/>
    </row>
    <row r="220">
      <c r="A220" s="10">
        <v>44528.0</v>
      </c>
      <c r="B220" s="20" t="s">
        <v>15</v>
      </c>
      <c r="C220" s="20" t="s">
        <v>26</v>
      </c>
      <c r="D220" s="21">
        <v>200000.0</v>
      </c>
      <c r="V220" s="29"/>
      <c r="W220" s="29"/>
      <c r="X220" s="29"/>
    </row>
    <row r="221">
      <c r="A221" s="10">
        <v>44532.0</v>
      </c>
      <c r="B221" s="20" t="s">
        <v>30</v>
      </c>
      <c r="C221" s="20" t="s">
        <v>50</v>
      </c>
      <c r="D221" s="21">
        <v>93497.0</v>
      </c>
      <c r="V221" s="29"/>
      <c r="W221" s="29"/>
      <c r="X221" s="29"/>
    </row>
    <row r="222">
      <c r="A222" s="10">
        <v>44535.0</v>
      </c>
      <c r="B222" s="20" t="s">
        <v>15</v>
      </c>
      <c r="C222" s="20" t="s">
        <v>109</v>
      </c>
      <c r="D222" s="21">
        <v>30000.0</v>
      </c>
      <c r="V222" s="29"/>
      <c r="W222" s="29"/>
      <c r="X222" s="29"/>
    </row>
    <row r="223">
      <c r="A223" s="10">
        <v>44535.0</v>
      </c>
      <c r="B223" s="20" t="s">
        <v>26</v>
      </c>
      <c r="C223" s="20" t="s">
        <v>120</v>
      </c>
      <c r="D223" s="21">
        <v>292000.0</v>
      </c>
      <c r="V223" s="29"/>
      <c r="W223" s="29"/>
      <c r="X223" s="29"/>
    </row>
    <row r="224">
      <c r="A224" s="10">
        <v>44536.0</v>
      </c>
      <c r="B224" s="11" t="s">
        <v>64</v>
      </c>
      <c r="C224" s="20" t="s">
        <v>76</v>
      </c>
      <c r="D224" s="21">
        <v>239005.0</v>
      </c>
      <c r="V224" s="29"/>
      <c r="W224" s="29"/>
      <c r="X224" s="29"/>
    </row>
    <row r="225">
      <c r="A225" s="10">
        <v>44536.0</v>
      </c>
      <c r="B225" s="20" t="s">
        <v>15</v>
      </c>
      <c r="C225" s="20" t="s">
        <v>16</v>
      </c>
      <c r="D225" s="21">
        <v>46490.0</v>
      </c>
      <c r="V225" s="29"/>
      <c r="W225" s="29"/>
      <c r="X225" s="29"/>
    </row>
    <row r="226">
      <c r="A226" s="10">
        <v>44537.0</v>
      </c>
      <c r="B226" s="20" t="s">
        <v>15</v>
      </c>
      <c r="C226" s="20" t="s">
        <v>26</v>
      </c>
      <c r="D226" s="21">
        <v>200000.0</v>
      </c>
      <c r="V226" s="29"/>
      <c r="W226" s="29"/>
      <c r="X226" s="29"/>
    </row>
    <row r="227">
      <c r="A227" s="10">
        <v>44537.0</v>
      </c>
      <c r="B227" s="20" t="s">
        <v>26</v>
      </c>
      <c r="C227" s="20" t="s">
        <v>116</v>
      </c>
      <c r="D227" s="21">
        <f>283366+115277</f>
        <v>398643</v>
      </c>
      <c r="V227" s="29"/>
      <c r="W227" s="29"/>
      <c r="X227" s="29"/>
    </row>
    <row r="228">
      <c r="A228" s="10">
        <v>44538.0</v>
      </c>
      <c r="B228" s="20" t="s">
        <v>30</v>
      </c>
      <c r="C228" s="20" t="s">
        <v>86</v>
      </c>
      <c r="D228" s="21">
        <v>294715.0</v>
      </c>
      <c r="V228" s="29"/>
      <c r="W228" s="29"/>
      <c r="X228" s="29"/>
    </row>
    <row r="229">
      <c r="A229" s="10">
        <v>44542.0</v>
      </c>
      <c r="B229" s="20" t="s">
        <v>26</v>
      </c>
      <c r="C229" s="20" t="s">
        <v>54</v>
      </c>
      <c r="D229" s="21">
        <v>106100.0</v>
      </c>
      <c r="V229" s="29"/>
      <c r="W229" s="29"/>
      <c r="X229" s="29"/>
    </row>
    <row r="230">
      <c r="A230" s="10">
        <v>44542.0</v>
      </c>
      <c r="B230" s="20" t="s">
        <v>26</v>
      </c>
      <c r="C230" s="20"/>
      <c r="D230" s="21">
        <v>71143.0</v>
      </c>
      <c r="V230" s="29"/>
      <c r="W230" s="29"/>
      <c r="X230" s="29"/>
    </row>
    <row r="231">
      <c r="A231" s="10">
        <v>44543.0</v>
      </c>
      <c r="B231" s="20" t="s">
        <v>26</v>
      </c>
      <c r="C231" s="20" t="s">
        <v>116</v>
      </c>
      <c r="D231" s="21">
        <v>529000.0</v>
      </c>
      <c r="V231" s="29"/>
      <c r="W231" s="29"/>
      <c r="X231" s="29"/>
    </row>
    <row r="232">
      <c r="A232" s="10">
        <v>44549.0</v>
      </c>
      <c r="B232" s="20" t="s">
        <v>30</v>
      </c>
      <c r="C232" s="20" t="s">
        <v>108</v>
      </c>
      <c r="D232" s="21">
        <v>94140.0</v>
      </c>
      <c r="V232" s="29"/>
      <c r="W232" s="29"/>
      <c r="X232" s="29"/>
    </row>
    <row r="233">
      <c r="A233" s="10">
        <v>44552.0</v>
      </c>
      <c r="B233" s="20" t="s">
        <v>26</v>
      </c>
      <c r="C233" s="20" t="s">
        <v>121</v>
      </c>
      <c r="D233" s="21">
        <v>43600.0</v>
      </c>
      <c r="V233" s="29"/>
      <c r="W233" s="29"/>
      <c r="X233" s="29"/>
    </row>
    <row r="234">
      <c r="A234" s="10">
        <v>44555.0</v>
      </c>
      <c r="B234" s="20" t="s">
        <v>26</v>
      </c>
      <c r="C234" s="20" t="s">
        <v>109</v>
      </c>
      <c r="D234" s="21">
        <v>81000.0</v>
      </c>
      <c r="V234" s="29"/>
      <c r="W234" s="29"/>
      <c r="X234" s="29"/>
    </row>
    <row r="235">
      <c r="A235" s="10">
        <v>44562.0</v>
      </c>
      <c r="B235" s="20" t="s">
        <v>15</v>
      </c>
      <c r="C235" s="20" t="s">
        <v>16</v>
      </c>
      <c r="D235" s="21">
        <v>74040.0</v>
      </c>
      <c r="V235" s="29"/>
      <c r="W235" s="29"/>
      <c r="X235" s="29"/>
    </row>
    <row r="236">
      <c r="A236" s="10">
        <v>44562.0</v>
      </c>
      <c r="B236" s="20" t="s">
        <v>30</v>
      </c>
      <c r="C236" s="20" t="s">
        <v>36</v>
      </c>
      <c r="D236" s="21">
        <v>49960.0</v>
      </c>
      <c r="V236" s="29"/>
      <c r="W236" s="29"/>
      <c r="X236" s="29"/>
    </row>
    <row r="237">
      <c r="A237" s="10">
        <v>44562.0</v>
      </c>
      <c r="B237" s="11" t="s">
        <v>64</v>
      </c>
      <c r="C237" s="20" t="s">
        <v>76</v>
      </c>
      <c r="D237" s="30">
        <v>247506.0</v>
      </c>
      <c r="V237" s="29"/>
      <c r="W237" s="29"/>
      <c r="X237" s="29"/>
    </row>
    <row r="238">
      <c r="A238" s="10">
        <v>44570.0</v>
      </c>
      <c r="B238" s="20" t="s">
        <v>26</v>
      </c>
      <c r="C238" s="20" t="s">
        <v>122</v>
      </c>
      <c r="D238" s="21">
        <f>33.85*4200</f>
        <v>142170</v>
      </c>
      <c r="V238" s="29"/>
      <c r="W238" s="29"/>
      <c r="X238" s="29"/>
    </row>
    <row r="239">
      <c r="A239" s="10">
        <v>44573.0</v>
      </c>
      <c r="B239" s="20" t="s">
        <v>15</v>
      </c>
      <c r="C239" s="20" t="s">
        <v>16</v>
      </c>
      <c r="D239" s="21">
        <v>78273.0</v>
      </c>
      <c r="V239" s="29"/>
      <c r="W239" s="29"/>
      <c r="X239" s="29"/>
    </row>
    <row r="240">
      <c r="A240" s="10">
        <v>44573.0</v>
      </c>
      <c r="B240" s="20" t="s">
        <v>30</v>
      </c>
      <c r="C240" s="20" t="s">
        <v>36</v>
      </c>
      <c r="D240" s="21">
        <v>303720.0</v>
      </c>
      <c r="V240" s="29"/>
      <c r="W240" s="29"/>
      <c r="X240" s="29"/>
    </row>
    <row r="241">
      <c r="A241" s="10">
        <v>44573.0</v>
      </c>
      <c r="B241" s="20" t="s">
        <v>30</v>
      </c>
      <c r="C241" s="20" t="s">
        <v>50</v>
      </c>
      <c r="D241" s="21">
        <v>105640.0</v>
      </c>
      <c r="V241" s="29"/>
      <c r="W241" s="29"/>
      <c r="X241" s="29"/>
    </row>
    <row r="242">
      <c r="A242" s="10">
        <v>44576.0</v>
      </c>
      <c r="B242" s="20" t="s">
        <v>26</v>
      </c>
      <c r="C242" s="20" t="s">
        <v>123</v>
      </c>
      <c r="D242" s="21">
        <v>19400.0</v>
      </c>
      <c r="V242" s="29"/>
      <c r="W242" s="29"/>
      <c r="X242" s="29"/>
    </row>
    <row r="243">
      <c r="A243" s="10">
        <v>44577.0</v>
      </c>
      <c r="B243" s="20" t="s">
        <v>30</v>
      </c>
      <c r="C243" s="20" t="s">
        <v>86</v>
      </c>
      <c r="D243" s="21">
        <v>283850.0</v>
      </c>
      <c r="V243" s="29"/>
      <c r="W243" s="29"/>
      <c r="X243" s="29"/>
    </row>
    <row r="244">
      <c r="A244" s="10">
        <v>44579.0</v>
      </c>
      <c r="B244" s="11" t="s">
        <v>64</v>
      </c>
      <c r="C244" s="11" t="s">
        <v>78</v>
      </c>
      <c r="D244" s="21">
        <v>70000.0</v>
      </c>
      <c r="V244" s="29"/>
      <c r="W244" s="29"/>
      <c r="X244" s="29"/>
    </row>
    <row r="245">
      <c r="A245" s="10">
        <v>44580.0</v>
      </c>
      <c r="B245" s="20" t="s">
        <v>30</v>
      </c>
      <c r="C245" s="20" t="s">
        <v>108</v>
      </c>
      <c r="D245" s="21">
        <v>35400.0</v>
      </c>
      <c r="V245" s="29"/>
      <c r="W245" s="29"/>
      <c r="X245" s="29"/>
    </row>
    <row r="246">
      <c r="A246" s="10">
        <v>44584.0</v>
      </c>
      <c r="B246" s="11" t="s">
        <v>30</v>
      </c>
      <c r="C246" s="11" t="s">
        <v>86</v>
      </c>
      <c r="D246" s="21">
        <v>34253.0</v>
      </c>
      <c r="V246" s="29"/>
      <c r="W246" s="29"/>
      <c r="X246" s="29"/>
    </row>
    <row r="247">
      <c r="A247" s="10">
        <v>44584.0</v>
      </c>
      <c r="B247" s="20" t="s">
        <v>15</v>
      </c>
      <c r="C247" s="20" t="s">
        <v>26</v>
      </c>
      <c r="D247" s="21">
        <v>200000.0</v>
      </c>
      <c r="V247" s="29"/>
      <c r="W247" s="29"/>
      <c r="X247" s="29"/>
    </row>
    <row r="248">
      <c r="A248" s="10">
        <v>44587.0</v>
      </c>
      <c r="B248" s="11" t="s">
        <v>64</v>
      </c>
      <c r="C248" s="20" t="s">
        <v>68</v>
      </c>
      <c r="D248" s="21">
        <v>120378.0</v>
      </c>
      <c r="V248" s="29"/>
      <c r="W248" s="29"/>
      <c r="X248" s="29"/>
    </row>
    <row r="249">
      <c r="A249" s="10">
        <v>44588.0</v>
      </c>
      <c r="B249" s="11" t="s">
        <v>30</v>
      </c>
      <c r="C249" s="20" t="s">
        <v>108</v>
      </c>
      <c r="D249" s="21">
        <v>63900.0</v>
      </c>
      <c r="V249" s="29"/>
      <c r="W249" s="29"/>
      <c r="X249" s="29"/>
    </row>
    <row r="250">
      <c r="A250" s="10">
        <v>44588.0</v>
      </c>
      <c r="B250" s="11" t="s">
        <v>30</v>
      </c>
      <c r="C250" s="20" t="s">
        <v>50</v>
      </c>
      <c r="D250" s="21">
        <v>61239.0</v>
      </c>
      <c r="V250" s="29"/>
      <c r="W250" s="29"/>
      <c r="X250" s="29"/>
    </row>
    <row r="251">
      <c r="A251" s="10">
        <v>44589.0</v>
      </c>
      <c r="B251" s="11" t="s">
        <v>64</v>
      </c>
      <c r="C251" s="11" t="s">
        <v>78</v>
      </c>
      <c r="D251" s="21">
        <v>70000.0</v>
      </c>
      <c r="V251" s="29"/>
      <c r="W251" s="29"/>
      <c r="X251" s="29"/>
    </row>
    <row r="252">
      <c r="A252" s="10">
        <v>44589.0</v>
      </c>
      <c r="B252" s="11" t="s">
        <v>30</v>
      </c>
      <c r="C252" s="20" t="s">
        <v>124</v>
      </c>
      <c r="D252" s="21">
        <v>82000.0</v>
      </c>
      <c r="V252" s="29"/>
      <c r="W252" s="29"/>
      <c r="X252" s="29"/>
    </row>
    <row r="253">
      <c r="A253" s="10">
        <v>44589.0</v>
      </c>
      <c r="B253" s="11" t="s">
        <v>30</v>
      </c>
      <c r="C253" s="20" t="s">
        <v>108</v>
      </c>
      <c r="D253" s="21">
        <v>36800.0</v>
      </c>
      <c r="V253" s="29"/>
      <c r="W253" s="29"/>
      <c r="X253" s="29"/>
    </row>
    <row r="254">
      <c r="A254" s="10">
        <v>44592.0</v>
      </c>
      <c r="B254" s="20" t="s">
        <v>15</v>
      </c>
      <c r="C254" s="20" t="s">
        <v>16</v>
      </c>
      <c r="D254" s="21">
        <v>74656.0</v>
      </c>
      <c r="V254" s="29"/>
      <c r="W254" s="29"/>
      <c r="X254" s="29"/>
    </row>
    <row r="255">
      <c r="A255" s="10">
        <v>44595.0</v>
      </c>
      <c r="B255" s="20" t="s">
        <v>30</v>
      </c>
      <c r="C255" s="20" t="s">
        <v>36</v>
      </c>
      <c r="D255" s="21">
        <v>198250.0</v>
      </c>
      <c r="V255" s="29"/>
      <c r="W255" s="29"/>
      <c r="X255" s="29"/>
    </row>
    <row r="256">
      <c r="A256" s="10">
        <v>44596.0</v>
      </c>
      <c r="B256" s="11" t="s">
        <v>64</v>
      </c>
      <c r="C256" s="11" t="s">
        <v>78</v>
      </c>
      <c r="D256" s="21">
        <v>70000.0</v>
      </c>
      <c r="V256" s="29"/>
      <c r="W256" s="29"/>
      <c r="X256" s="29"/>
    </row>
    <row r="257">
      <c r="A257" s="10">
        <v>44597.0</v>
      </c>
      <c r="B257" s="20" t="s">
        <v>30</v>
      </c>
      <c r="C257" s="20" t="s">
        <v>86</v>
      </c>
      <c r="D257" s="21">
        <v>501636.0</v>
      </c>
      <c r="V257" s="29"/>
      <c r="W257" s="29"/>
      <c r="X257" s="29"/>
    </row>
    <row r="258">
      <c r="A258" s="10">
        <v>44597.0</v>
      </c>
      <c r="B258" s="20" t="s">
        <v>15</v>
      </c>
      <c r="C258" s="20" t="s">
        <v>26</v>
      </c>
      <c r="D258" s="21">
        <v>200000.0</v>
      </c>
      <c r="V258" s="29"/>
      <c r="W258" s="29"/>
      <c r="X258" s="29"/>
    </row>
    <row r="259">
      <c r="A259" s="10">
        <v>44597.0</v>
      </c>
      <c r="B259" s="11" t="s">
        <v>64</v>
      </c>
      <c r="C259" s="20" t="s">
        <v>76</v>
      </c>
      <c r="D259" s="21">
        <v>281827.0</v>
      </c>
      <c r="V259" s="29"/>
      <c r="W259" s="29"/>
      <c r="X259" s="29"/>
    </row>
    <row r="260">
      <c r="A260" s="10">
        <v>44598.0</v>
      </c>
      <c r="B260" s="20" t="s">
        <v>15</v>
      </c>
      <c r="C260" s="20" t="s">
        <v>16</v>
      </c>
      <c r="D260" s="21">
        <v>77536.0</v>
      </c>
      <c r="V260" s="29"/>
      <c r="W260" s="29"/>
      <c r="X260" s="29"/>
    </row>
    <row r="261">
      <c r="A261" s="10">
        <v>44601.0</v>
      </c>
      <c r="B261" s="20" t="s">
        <v>26</v>
      </c>
      <c r="C261" s="20" t="s">
        <v>125</v>
      </c>
      <c r="D261" s="21">
        <v>114000.0</v>
      </c>
      <c r="V261" s="29"/>
      <c r="W261" s="29"/>
      <c r="X261" s="29"/>
    </row>
    <row r="262">
      <c r="A262" s="10">
        <v>44601.0</v>
      </c>
      <c r="B262" s="11" t="s">
        <v>30</v>
      </c>
      <c r="C262" s="20" t="s">
        <v>50</v>
      </c>
      <c r="D262" s="21">
        <v>46749.0</v>
      </c>
      <c r="V262" s="29"/>
      <c r="W262" s="29"/>
      <c r="X262" s="29"/>
    </row>
    <row r="263">
      <c r="A263" s="10">
        <v>44603.0</v>
      </c>
      <c r="B263" s="11" t="s">
        <v>64</v>
      </c>
      <c r="C263" s="11" t="s">
        <v>78</v>
      </c>
      <c r="D263" s="21">
        <v>70000.0</v>
      </c>
      <c r="V263" s="29"/>
      <c r="W263" s="29"/>
      <c r="X263" s="29"/>
    </row>
    <row r="264">
      <c r="A264" s="10">
        <v>44608.0</v>
      </c>
      <c r="B264" s="20" t="s">
        <v>15</v>
      </c>
      <c r="C264" s="20" t="s">
        <v>16</v>
      </c>
      <c r="D264" s="21">
        <v>81402.0</v>
      </c>
      <c r="V264" s="29"/>
      <c r="W264" s="29"/>
      <c r="X264" s="29"/>
    </row>
    <row r="265">
      <c r="A265" s="10">
        <v>44609.0</v>
      </c>
      <c r="B265" s="20" t="s">
        <v>15</v>
      </c>
      <c r="C265" s="20" t="s">
        <v>109</v>
      </c>
      <c r="D265" s="21">
        <v>70000.0</v>
      </c>
      <c r="V265" s="29"/>
      <c r="W265" s="29"/>
      <c r="X265" s="29"/>
    </row>
    <row r="266">
      <c r="A266" s="10">
        <v>44609.0</v>
      </c>
      <c r="B266" s="20" t="s">
        <v>30</v>
      </c>
      <c r="C266" s="20" t="s">
        <v>126</v>
      </c>
      <c r="D266" s="21">
        <v>70000.0</v>
      </c>
      <c r="V266" s="29"/>
      <c r="W266" s="29"/>
      <c r="X266" s="29"/>
    </row>
    <row r="267">
      <c r="A267" s="10">
        <v>44610.0</v>
      </c>
      <c r="B267" s="11" t="s">
        <v>64</v>
      </c>
      <c r="C267" s="11" t="s">
        <v>78</v>
      </c>
      <c r="D267" s="21">
        <v>70000.0</v>
      </c>
      <c r="V267" s="29"/>
      <c r="W267" s="29"/>
      <c r="X267" s="29"/>
    </row>
    <row r="268">
      <c r="A268" s="10">
        <v>44612.0</v>
      </c>
      <c r="B268" s="11" t="s">
        <v>30</v>
      </c>
      <c r="C268" s="20" t="s">
        <v>89</v>
      </c>
      <c r="D268" s="21">
        <v>132103.0</v>
      </c>
      <c r="V268" s="29"/>
      <c r="W268" s="29"/>
      <c r="X268" s="29"/>
    </row>
    <row r="269">
      <c r="A269" s="10">
        <v>44615.0</v>
      </c>
      <c r="B269" s="20" t="s">
        <v>15</v>
      </c>
      <c r="C269" s="20" t="s">
        <v>16</v>
      </c>
      <c r="D269" s="21">
        <v>92925.0</v>
      </c>
      <c r="V269" s="29"/>
      <c r="W269" s="29"/>
      <c r="X269" s="29"/>
    </row>
    <row r="270">
      <c r="A270" s="10">
        <v>44615.0</v>
      </c>
      <c r="B270" s="20" t="s">
        <v>15</v>
      </c>
      <c r="C270" s="20" t="s">
        <v>109</v>
      </c>
      <c r="D270" s="21">
        <v>25000.0</v>
      </c>
      <c r="V270" s="29"/>
      <c r="W270" s="29"/>
      <c r="X270" s="29"/>
    </row>
    <row r="271">
      <c r="A271" s="10">
        <v>44618.0</v>
      </c>
      <c r="B271" s="11" t="s">
        <v>64</v>
      </c>
      <c r="C271" s="11" t="s">
        <v>78</v>
      </c>
      <c r="D271" s="21">
        <v>70000.0</v>
      </c>
      <c r="V271" s="29"/>
      <c r="W271" s="29"/>
      <c r="X271" s="29"/>
    </row>
    <row r="272">
      <c r="A272" s="10">
        <v>44621.0</v>
      </c>
      <c r="B272" s="11" t="s">
        <v>30</v>
      </c>
      <c r="C272" s="20" t="s">
        <v>36</v>
      </c>
      <c r="D272" s="21">
        <v>202630.0</v>
      </c>
      <c r="V272" s="29"/>
      <c r="W272" s="29"/>
      <c r="X272" s="29"/>
    </row>
    <row r="273">
      <c r="A273" s="10">
        <v>44623.0</v>
      </c>
      <c r="B273" s="20" t="s">
        <v>127</v>
      </c>
      <c r="C273" s="20" t="s">
        <v>128</v>
      </c>
      <c r="D273" s="21">
        <v>294800.0</v>
      </c>
      <c r="V273" s="29"/>
      <c r="W273" s="29"/>
      <c r="X273" s="29"/>
    </row>
    <row r="274">
      <c r="A274" s="10">
        <v>44623.0</v>
      </c>
      <c r="B274" s="20" t="s">
        <v>127</v>
      </c>
      <c r="C274" s="20" t="s">
        <v>121</v>
      </c>
      <c r="D274" s="21">
        <v>58186.0</v>
      </c>
      <c r="V274" s="29"/>
      <c r="W274" s="29"/>
      <c r="X274" s="29"/>
    </row>
    <row r="275">
      <c r="A275" s="10">
        <v>44624.0</v>
      </c>
      <c r="B275" s="11" t="s">
        <v>64</v>
      </c>
      <c r="C275" s="11" t="s">
        <v>78</v>
      </c>
      <c r="D275" s="21">
        <v>70000.0</v>
      </c>
      <c r="V275" s="29"/>
      <c r="W275" s="29"/>
      <c r="X275" s="29"/>
    </row>
    <row r="276">
      <c r="A276" s="10">
        <v>44628.0</v>
      </c>
      <c r="B276" s="11" t="s">
        <v>30</v>
      </c>
      <c r="C276" s="20" t="s">
        <v>121</v>
      </c>
      <c r="D276" s="21">
        <v>231656.0</v>
      </c>
      <c r="V276" s="29"/>
      <c r="W276" s="29"/>
      <c r="X276" s="29"/>
    </row>
    <row r="277">
      <c r="A277" s="10">
        <v>44629.0</v>
      </c>
      <c r="B277" s="11" t="s">
        <v>30</v>
      </c>
      <c r="C277" s="20" t="s">
        <v>100</v>
      </c>
      <c r="D277" s="21">
        <v>18650.0</v>
      </c>
      <c r="V277" s="29"/>
      <c r="W277" s="29"/>
      <c r="X277" s="29"/>
    </row>
    <row r="278">
      <c r="A278" s="10">
        <v>44631.0</v>
      </c>
      <c r="B278" s="11" t="s">
        <v>64</v>
      </c>
      <c r="C278" s="11" t="s">
        <v>78</v>
      </c>
      <c r="D278" s="21">
        <v>70000.0</v>
      </c>
      <c r="V278" s="29"/>
      <c r="W278" s="29"/>
      <c r="X278" s="29"/>
    </row>
    <row r="279">
      <c r="A279" s="10">
        <v>44632.0</v>
      </c>
      <c r="B279" s="11" t="s">
        <v>30</v>
      </c>
      <c r="C279" s="20" t="s">
        <v>36</v>
      </c>
      <c r="D279" s="21">
        <v>19630.0</v>
      </c>
      <c r="V279" s="29"/>
      <c r="W279" s="29"/>
      <c r="X279" s="29"/>
    </row>
    <row r="280">
      <c r="A280" s="10">
        <v>44632.0</v>
      </c>
      <c r="B280" s="20" t="s">
        <v>64</v>
      </c>
      <c r="C280" s="20" t="s">
        <v>68</v>
      </c>
      <c r="D280" s="21">
        <v>120536.0</v>
      </c>
      <c r="V280" s="29"/>
      <c r="W280" s="29"/>
      <c r="X280" s="29"/>
    </row>
    <row r="281">
      <c r="A281" s="10">
        <v>44632.0</v>
      </c>
      <c r="B281" s="20" t="s">
        <v>15</v>
      </c>
      <c r="C281" s="20" t="s">
        <v>16</v>
      </c>
      <c r="D281" s="21">
        <v>87757.0</v>
      </c>
      <c r="V281" s="29"/>
      <c r="W281" s="29"/>
      <c r="X281" s="29"/>
    </row>
    <row r="282">
      <c r="A282" s="10">
        <v>44633.0</v>
      </c>
      <c r="B282" s="11" t="s">
        <v>64</v>
      </c>
      <c r="C282" s="20" t="s">
        <v>76</v>
      </c>
      <c r="D282" s="21">
        <v>206658.0</v>
      </c>
      <c r="V282" s="29"/>
      <c r="W282" s="29"/>
      <c r="X282" s="29"/>
    </row>
    <row r="283">
      <c r="A283" s="10">
        <v>44633.0</v>
      </c>
      <c r="B283" s="20" t="s">
        <v>30</v>
      </c>
      <c r="C283" s="20" t="s">
        <v>101</v>
      </c>
      <c r="D283" s="21">
        <v>23766.0</v>
      </c>
      <c r="V283" s="29"/>
      <c r="W283" s="29"/>
      <c r="X283" s="29"/>
    </row>
    <row r="284">
      <c r="A284" s="10">
        <v>44637.0</v>
      </c>
      <c r="B284" s="11" t="s">
        <v>64</v>
      </c>
      <c r="C284" s="11" t="s">
        <v>78</v>
      </c>
      <c r="D284" s="21">
        <v>70000.0</v>
      </c>
      <c r="V284" s="29"/>
      <c r="W284" s="29"/>
      <c r="X284" s="29"/>
    </row>
    <row r="285">
      <c r="A285" s="10">
        <v>44639.0</v>
      </c>
      <c r="B285" s="20" t="s">
        <v>30</v>
      </c>
      <c r="C285" s="20" t="s">
        <v>86</v>
      </c>
      <c r="D285" s="21">
        <v>44657.0</v>
      </c>
      <c r="V285" s="29"/>
      <c r="W285" s="29"/>
      <c r="X285" s="29"/>
    </row>
    <row r="286">
      <c r="A286" s="10">
        <v>44639.0</v>
      </c>
      <c r="B286" s="20" t="s">
        <v>15</v>
      </c>
      <c r="C286" s="20" t="s">
        <v>26</v>
      </c>
      <c r="D286" s="21">
        <v>15000.0</v>
      </c>
      <c r="V286" s="29"/>
      <c r="W286" s="29"/>
      <c r="X286" s="29"/>
    </row>
    <row r="287">
      <c r="A287" s="10">
        <v>44640.0</v>
      </c>
      <c r="B287" s="20" t="s">
        <v>30</v>
      </c>
      <c r="C287" s="20" t="s">
        <v>50</v>
      </c>
      <c r="D287" s="21">
        <v>151770.0</v>
      </c>
      <c r="V287" s="29"/>
      <c r="W287" s="29"/>
      <c r="X287" s="29"/>
    </row>
    <row r="288">
      <c r="A288" s="10">
        <v>44641.0</v>
      </c>
      <c r="B288" s="20" t="s">
        <v>15</v>
      </c>
      <c r="C288" s="20" t="s">
        <v>16</v>
      </c>
      <c r="D288" s="21">
        <v>76770.0</v>
      </c>
      <c r="V288" s="29"/>
      <c r="W288" s="29"/>
      <c r="X288" s="29"/>
    </row>
    <row r="289">
      <c r="A289" s="10">
        <v>44641.0</v>
      </c>
      <c r="B289" s="20" t="s">
        <v>30</v>
      </c>
      <c r="C289" s="20" t="s">
        <v>86</v>
      </c>
      <c r="D289" s="21">
        <v>41863.0</v>
      </c>
      <c r="V289" s="29"/>
      <c r="W289" s="29"/>
      <c r="X289" s="29"/>
    </row>
    <row r="290">
      <c r="A290" s="10">
        <v>44645.0</v>
      </c>
      <c r="B290" s="11" t="s">
        <v>64</v>
      </c>
      <c r="C290" s="11" t="s">
        <v>78</v>
      </c>
      <c r="D290" s="21">
        <v>70000.0</v>
      </c>
      <c r="V290" s="29"/>
      <c r="W290" s="29"/>
      <c r="X290" s="29"/>
    </row>
    <row r="291">
      <c r="A291" s="10">
        <v>44652.0</v>
      </c>
      <c r="B291" s="11" t="s">
        <v>64</v>
      </c>
      <c r="C291" s="11" t="s">
        <v>78</v>
      </c>
      <c r="D291" s="21">
        <v>70000.0</v>
      </c>
      <c r="V291" s="29"/>
      <c r="W291" s="29"/>
      <c r="X291" s="29"/>
    </row>
    <row r="292">
      <c r="A292" s="10">
        <v>44652.0</v>
      </c>
      <c r="B292" s="20" t="s">
        <v>30</v>
      </c>
      <c r="C292" s="20" t="s">
        <v>101</v>
      </c>
      <c r="D292" s="21">
        <v>66800.0</v>
      </c>
      <c r="V292" s="29"/>
      <c r="W292" s="29"/>
      <c r="X292" s="29"/>
    </row>
    <row r="293">
      <c r="A293" s="10">
        <v>44652.0</v>
      </c>
      <c r="B293" s="20" t="s">
        <v>26</v>
      </c>
      <c r="C293" s="20" t="s">
        <v>129</v>
      </c>
      <c r="D293" s="21">
        <v>100900.0</v>
      </c>
      <c r="V293" s="29"/>
      <c r="W293" s="29"/>
      <c r="X293" s="29"/>
    </row>
    <row r="294">
      <c r="A294" s="10">
        <v>44652.0</v>
      </c>
      <c r="B294" s="20" t="s">
        <v>15</v>
      </c>
      <c r="C294" s="20" t="s">
        <v>16</v>
      </c>
      <c r="D294" s="21">
        <v>85906.0</v>
      </c>
      <c r="V294" s="29"/>
      <c r="W294" s="29"/>
      <c r="X294" s="29"/>
    </row>
    <row r="295">
      <c r="A295" s="10">
        <v>44656.0</v>
      </c>
      <c r="B295" s="20" t="s">
        <v>30</v>
      </c>
      <c r="C295" s="20" t="s">
        <v>86</v>
      </c>
      <c r="D295" s="21">
        <v>195543.0</v>
      </c>
      <c r="V295" s="29"/>
      <c r="W295" s="29"/>
      <c r="X295" s="29"/>
    </row>
    <row r="296">
      <c r="A296" s="10">
        <v>44656.0</v>
      </c>
      <c r="B296" s="20" t="s">
        <v>30</v>
      </c>
      <c r="C296" s="20" t="s">
        <v>121</v>
      </c>
      <c r="D296" s="21">
        <v>93761.0</v>
      </c>
      <c r="V296" s="29"/>
      <c r="W296" s="29"/>
      <c r="X296" s="29"/>
    </row>
    <row r="297">
      <c r="A297" s="10">
        <v>44657.0</v>
      </c>
      <c r="B297" s="20" t="s">
        <v>30</v>
      </c>
      <c r="C297" s="20" t="s">
        <v>36</v>
      </c>
      <c r="D297" s="21">
        <v>73450.0</v>
      </c>
      <c r="V297" s="29"/>
      <c r="W297" s="29"/>
      <c r="X297" s="29"/>
    </row>
    <row r="298">
      <c r="A298" s="10">
        <v>44659.0</v>
      </c>
      <c r="B298" s="20" t="s">
        <v>30</v>
      </c>
      <c r="C298" s="20" t="s">
        <v>130</v>
      </c>
      <c r="D298" s="21">
        <v>173525.0</v>
      </c>
      <c r="V298" s="29"/>
      <c r="W298" s="29"/>
      <c r="X298" s="29"/>
    </row>
    <row r="299">
      <c r="A299" s="10">
        <v>44659.0</v>
      </c>
      <c r="B299" s="20" t="s">
        <v>30</v>
      </c>
      <c r="C299" s="20" t="s">
        <v>50</v>
      </c>
      <c r="D299" s="21">
        <v>102848.0</v>
      </c>
      <c r="V299" s="29"/>
      <c r="W299" s="29"/>
      <c r="X299" s="29"/>
    </row>
    <row r="300">
      <c r="A300" s="10">
        <v>44659.0</v>
      </c>
      <c r="B300" s="11" t="s">
        <v>64</v>
      </c>
      <c r="C300" s="11" t="s">
        <v>78</v>
      </c>
      <c r="D300" s="21">
        <v>70000.0</v>
      </c>
      <c r="V300" s="29"/>
      <c r="W300" s="29"/>
      <c r="X300" s="29"/>
    </row>
    <row r="301">
      <c r="A301" s="10">
        <v>44660.0</v>
      </c>
      <c r="B301" s="20" t="s">
        <v>15</v>
      </c>
      <c r="C301" s="20" t="s">
        <v>16</v>
      </c>
      <c r="D301" s="21">
        <v>82244.0</v>
      </c>
      <c r="V301" s="29"/>
      <c r="W301" s="29"/>
      <c r="X301" s="29"/>
    </row>
    <row r="302">
      <c r="A302" s="10">
        <v>44662.0</v>
      </c>
      <c r="B302" s="20" t="s">
        <v>30</v>
      </c>
      <c r="C302" s="20" t="s">
        <v>86</v>
      </c>
      <c r="D302" s="21">
        <v>68570.0</v>
      </c>
      <c r="V302" s="29"/>
      <c r="W302" s="29"/>
      <c r="X302" s="29"/>
    </row>
    <row r="303">
      <c r="A303" s="10">
        <v>44664.0</v>
      </c>
      <c r="B303" s="20" t="s">
        <v>15</v>
      </c>
      <c r="C303" s="20" t="s">
        <v>16</v>
      </c>
      <c r="D303" s="21">
        <v>59042.0</v>
      </c>
      <c r="V303" s="29"/>
      <c r="W303" s="29"/>
      <c r="X303" s="29"/>
    </row>
    <row r="304">
      <c r="A304" s="10">
        <v>44664.0</v>
      </c>
      <c r="B304" s="20" t="s">
        <v>64</v>
      </c>
      <c r="C304" s="20" t="s">
        <v>68</v>
      </c>
      <c r="D304" s="21">
        <v>120356.0</v>
      </c>
      <c r="V304" s="29"/>
      <c r="W304" s="29"/>
      <c r="X304" s="29"/>
    </row>
    <row r="305">
      <c r="A305" s="10">
        <v>44665.0</v>
      </c>
      <c r="B305" s="20" t="s">
        <v>15</v>
      </c>
      <c r="C305" s="20" t="s">
        <v>16</v>
      </c>
      <c r="D305" s="21">
        <v>123638.0</v>
      </c>
      <c r="V305" s="29"/>
      <c r="W305" s="29"/>
      <c r="X305" s="29"/>
    </row>
    <row r="306">
      <c r="A306" s="10">
        <v>44665.0</v>
      </c>
      <c r="B306" s="20" t="s">
        <v>26</v>
      </c>
      <c r="C306" s="20" t="s">
        <v>131</v>
      </c>
      <c r="D306" s="21">
        <v>70000.0</v>
      </c>
      <c r="V306" s="29"/>
      <c r="W306" s="29"/>
      <c r="X306" s="29"/>
    </row>
    <row r="307">
      <c r="A307" s="10">
        <v>44665.0</v>
      </c>
      <c r="B307" s="20" t="s">
        <v>26</v>
      </c>
      <c r="C307" s="20" t="s">
        <v>132</v>
      </c>
      <c r="D307" s="21">
        <v>139900.0</v>
      </c>
      <c r="V307" s="29"/>
      <c r="W307" s="29"/>
      <c r="X307" s="29"/>
    </row>
    <row r="308">
      <c r="A308" s="10">
        <v>44666.0</v>
      </c>
      <c r="B308" s="11" t="s">
        <v>64</v>
      </c>
      <c r="C308" s="11" t="s">
        <v>78</v>
      </c>
      <c r="D308" s="21">
        <v>70000.0</v>
      </c>
      <c r="V308" s="29"/>
      <c r="W308" s="29"/>
      <c r="X308" s="29"/>
    </row>
    <row r="309">
      <c r="A309" s="10">
        <v>44668.0</v>
      </c>
      <c r="B309" s="20" t="s">
        <v>15</v>
      </c>
      <c r="C309" s="20" t="s">
        <v>16</v>
      </c>
      <c r="D309" s="21">
        <v>75700.0</v>
      </c>
      <c r="V309" s="29"/>
      <c r="W309" s="29"/>
      <c r="X309" s="29"/>
    </row>
    <row r="310">
      <c r="A310" s="10">
        <v>44668.0</v>
      </c>
      <c r="B310" s="20" t="s">
        <v>15</v>
      </c>
      <c r="C310" s="20" t="s">
        <v>16</v>
      </c>
      <c r="D310" s="21">
        <v>74000.0</v>
      </c>
      <c r="V310" s="29"/>
      <c r="W310" s="29"/>
      <c r="X310" s="29"/>
    </row>
    <row r="311">
      <c r="A311" s="10">
        <v>44673.0</v>
      </c>
      <c r="B311" s="11" t="s">
        <v>64</v>
      </c>
      <c r="C311" s="11" t="s">
        <v>78</v>
      </c>
      <c r="D311" s="21">
        <v>70000.0</v>
      </c>
      <c r="V311" s="29"/>
      <c r="W311" s="29"/>
      <c r="X311" s="29"/>
    </row>
    <row r="312">
      <c r="A312" s="10">
        <v>44675.0</v>
      </c>
      <c r="B312" s="20" t="s">
        <v>15</v>
      </c>
      <c r="C312" s="20" t="s">
        <v>109</v>
      </c>
      <c r="D312" s="21">
        <v>90000.0</v>
      </c>
      <c r="V312" s="29"/>
      <c r="W312" s="29"/>
      <c r="X312" s="29"/>
    </row>
    <row r="313">
      <c r="A313" s="10">
        <v>44676.0</v>
      </c>
      <c r="B313" s="20" t="s">
        <v>26</v>
      </c>
      <c r="C313" s="20" t="s">
        <v>133</v>
      </c>
      <c r="D313" s="21">
        <v>54900.0</v>
      </c>
      <c r="V313" s="29"/>
      <c r="W313" s="29"/>
      <c r="X313" s="29"/>
    </row>
    <row r="314">
      <c r="A314" s="10">
        <v>44680.0</v>
      </c>
      <c r="B314" s="11" t="s">
        <v>64</v>
      </c>
      <c r="C314" s="20" t="s">
        <v>76</v>
      </c>
      <c r="D314" s="21">
        <v>583949.0</v>
      </c>
      <c r="V314" s="29"/>
      <c r="W314" s="29"/>
      <c r="X314" s="29"/>
    </row>
    <row r="315">
      <c r="A315" s="10">
        <v>44680.0</v>
      </c>
      <c r="B315" s="11" t="s">
        <v>64</v>
      </c>
      <c r="C315" s="11" t="s">
        <v>78</v>
      </c>
      <c r="D315" s="21">
        <v>70000.0</v>
      </c>
      <c r="V315" s="29"/>
      <c r="W315" s="29"/>
      <c r="X315" s="29"/>
    </row>
    <row r="316">
      <c r="A316" s="10">
        <v>44681.0</v>
      </c>
      <c r="B316" s="20" t="s">
        <v>15</v>
      </c>
      <c r="C316" s="20" t="s">
        <v>16</v>
      </c>
      <c r="D316" s="21">
        <v>87736.0</v>
      </c>
      <c r="V316" s="29"/>
      <c r="W316" s="29"/>
      <c r="X316" s="29"/>
    </row>
    <row r="317">
      <c r="A317" s="10">
        <v>44682.0</v>
      </c>
      <c r="B317" s="20" t="s">
        <v>26</v>
      </c>
      <c r="C317" s="20" t="s">
        <v>134</v>
      </c>
      <c r="D317" s="21">
        <v>54958.0</v>
      </c>
      <c r="V317" s="29"/>
      <c r="W317" s="29"/>
      <c r="X317" s="29"/>
    </row>
    <row r="318">
      <c r="A318" s="10">
        <v>44684.0</v>
      </c>
      <c r="B318" s="20" t="s">
        <v>30</v>
      </c>
      <c r="C318" s="20" t="s">
        <v>36</v>
      </c>
      <c r="D318" s="21">
        <v>284230.0</v>
      </c>
      <c r="V318" s="29"/>
      <c r="W318" s="29"/>
      <c r="X318" s="29"/>
    </row>
    <row r="319">
      <c r="A319" s="10">
        <v>44687.0</v>
      </c>
      <c r="B319" s="11" t="s">
        <v>64</v>
      </c>
      <c r="C319" s="11" t="s">
        <v>78</v>
      </c>
      <c r="D319" s="21">
        <v>70000.0</v>
      </c>
      <c r="V319" s="29"/>
      <c r="W319" s="29"/>
      <c r="X319" s="29"/>
    </row>
    <row r="320">
      <c r="A320" s="10">
        <v>44687.0</v>
      </c>
      <c r="B320" s="20" t="s">
        <v>30</v>
      </c>
      <c r="C320" s="20" t="s">
        <v>50</v>
      </c>
      <c r="D320" s="21">
        <v>51400.0</v>
      </c>
      <c r="V320" s="29"/>
      <c r="W320" s="29"/>
      <c r="X320" s="29"/>
    </row>
    <row r="321">
      <c r="A321" s="10">
        <v>44691.0</v>
      </c>
      <c r="B321" s="20" t="s">
        <v>30</v>
      </c>
      <c r="C321" s="20" t="s">
        <v>121</v>
      </c>
      <c r="D321" s="21">
        <v>67171.0</v>
      </c>
      <c r="V321" s="29"/>
      <c r="W321" s="29"/>
      <c r="X321" s="29"/>
    </row>
    <row r="322">
      <c r="A322" s="10">
        <v>44692.0</v>
      </c>
      <c r="B322" s="20" t="s">
        <v>64</v>
      </c>
      <c r="C322" s="20" t="s">
        <v>68</v>
      </c>
      <c r="D322" s="21">
        <v>125356.0</v>
      </c>
      <c r="V322" s="29"/>
      <c r="W322" s="29"/>
      <c r="X322" s="29"/>
    </row>
    <row r="323">
      <c r="A323" s="10">
        <v>44694.0</v>
      </c>
      <c r="B323" s="20" t="s">
        <v>15</v>
      </c>
      <c r="C323" s="20" t="s">
        <v>16</v>
      </c>
      <c r="D323" s="21">
        <v>41926.0</v>
      </c>
      <c r="V323" s="29"/>
      <c r="W323" s="29"/>
      <c r="X323" s="29"/>
    </row>
    <row r="324">
      <c r="A324" s="10">
        <v>44694.0</v>
      </c>
      <c r="B324" s="11" t="s">
        <v>64</v>
      </c>
      <c r="C324" s="11" t="s">
        <v>78</v>
      </c>
      <c r="D324" s="21">
        <v>70000.0</v>
      </c>
      <c r="V324" s="29"/>
      <c r="W324" s="29"/>
      <c r="X324" s="29"/>
    </row>
    <row r="325">
      <c r="A325" s="10">
        <v>44701.0</v>
      </c>
      <c r="B325" s="11" t="s">
        <v>64</v>
      </c>
      <c r="C325" s="11" t="s">
        <v>78</v>
      </c>
      <c r="D325" s="21">
        <v>70000.0</v>
      </c>
      <c r="V325" s="29"/>
      <c r="W325" s="29"/>
      <c r="X325" s="29"/>
    </row>
    <row r="326">
      <c r="A326" s="10">
        <v>44700.0</v>
      </c>
      <c r="B326" s="20" t="s">
        <v>15</v>
      </c>
      <c r="C326" s="20" t="s">
        <v>16</v>
      </c>
      <c r="D326" s="21">
        <v>80237.0</v>
      </c>
      <c r="V326" s="29"/>
      <c r="W326" s="29"/>
      <c r="X326" s="29"/>
    </row>
    <row r="327">
      <c r="A327" s="10">
        <v>44703.0</v>
      </c>
      <c r="B327" s="20" t="s">
        <v>26</v>
      </c>
      <c r="C327" s="11" t="s">
        <v>121</v>
      </c>
      <c r="D327" s="21">
        <v>88450.0</v>
      </c>
      <c r="V327" s="29"/>
      <c r="W327" s="29"/>
      <c r="X327" s="29"/>
    </row>
    <row r="328">
      <c r="A328" s="10">
        <v>44706.0</v>
      </c>
      <c r="B328" s="20" t="s">
        <v>30</v>
      </c>
      <c r="C328" s="20" t="s">
        <v>108</v>
      </c>
      <c r="D328" s="21">
        <v>263428.0</v>
      </c>
      <c r="V328" s="29"/>
      <c r="W328" s="29"/>
      <c r="X328" s="29"/>
    </row>
    <row r="329">
      <c r="A329" s="10">
        <v>44707.0</v>
      </c>
      <c r="B329" s="20" t="s">
        <v>30</v>
      </c>
      <c r="C329" s="20" t="s">
        <v>36</v>
      </c>
      <c r="D329" s="21">
        <v>191840.0</v>
      </c>
      <c r="V329" s="29"/>
      <c r="W329" s="29"/>
      <c r="X329" s="29"/>
    </row>
    <row r="330">
      <c r="A330" s="10">
        <v>44708.0</v>
      </c>
      <c r="B330" s="20" t="s">
        <v>15</v>
      </c>
      <c r="C330" s="20" t="s">
        <v>16</v>
      </c>
      <c r="D330" s="21">
        <v>91691.0</v>
      </c>
      <c r="V330" s="29"/>
      <c r="W330" s="29"/>
      <c r="X330" s="29"/>
    </row>
    <row r="331">
      <c r="A331" s="10">
        <v>44708.0</v>
      </c>
      <c r="B331" s="11" t="s">
        <v>64</v>
      </c>
      <c r="C331" s="11" t="s">
        <v>78</v>
      </c>
      <c r="D331" s="21">
        <v>70000.0</v>
      </c>
      <c r="V331" s="29"/>
      <c r="W331" s="29"/>
      <c r="X331" s="29"/>
    </row>
    <row r="332">
      <c r="A332" s="10">
        <v>44708.0</v>
      </c>
      <c r="B332" s="20" t="s">
        <v>26</v>
      </c>
      <c r="C332" s="20" t="s">
        <v>135</v>
      </c>
      <c r="D332" s="21">
        <v>245850.0</v>
      </c>
      <c r="V332" s="29"/>
      <c r="W332" s="29"/>
      <c r="X332" s="29"/>
    </row>
    <row r="333">
      <c r="A333" s="10">
        <v>44719.0</v>
      </c>
      <c r="B333" s="20" t="s">
        <v>26</v>
      </c>
      <c r="C333" s="11" t="s">
        <v>121</v>
      </c>
      <c r="D333" s="21">
        <v>50700.0</v>
      </c>
      <c r="V333" s="29"/>
      <c r="W333" s="29"/>
      <c r="X333" s="29"/>
    </row>
    <row r="334">
      <c r="A334" s="10">
        <v>44721.0</v>
      </c>
      <c r="B334" s="20" t="s">
        <v>15</v>
      </c>
      <c r="C334" s="20" t="s">
        <v>16</v>
      </c>
      <c r="D334" s="21">
        <v>85612.0</v>
      </c>
      <c r="V334" s="29"/>
      <c r="W334" s="29"/>
      <c r="X334" s="29"/>
    </row>
    <row r="335">
      <c r="A335" s="10">
        <v>44721.0</v>
      </c>
      <c r="B335" s="20" t="s">
        <v>30</v>
      </c>
      <c r="C335" s="20" t="s">
        <v>50</v>
      </c>
      <c r="D335" s="21">
        <v>58600.0</v>
      </c>
      <c r="V335" s="29"/>
      <c r="W335" s="29"/>
      <c r="X335" s="29"/>
    </row>
    <row r="336">
      <c r="A336" s="10">
        <v>44722.0</v>
      </c>
      <c r="B336" s="11" t="s">
        <v>64</v>
      </c>
      <c r="C336" s="11" t="s">
        <v>78</v>
      </c>
      <c r="D336" s="21">
        <v>70000.0</v>
      </c>
      <c r="V336" s="29"/>
      <c r="W336" s="29"/>
      <c r="X336" s="29"/>
    </row>
    <row r="337">
      <c r="A337" s="10">
        <v>44722.0</v>
      </c>
      <c r="B337" s="11" t="s">
        <v>64</v>
      </c>
      <c r="C337" s="20" t="s">
        <v>136</v>
      </c>
      <c r="D337" s="21">
        <v>140000.0</v>
      </c>
      <c r="V337" s="29"/>
      <c r="W337" s="29"/>
      <c r="X337" s="29"/>
    </row>
    <row r="338">
      <c r="A338" s="10">
        <v>44723.0</v>
      </c>
      <c r="B338" s="20" t="s">
        <v>64</v>
      </c>
      <c r="C338" s="20" t="s">
        <v>68</v>
      </c>
      <c r="D338" s="21">
        <v>125356.0</v>
      </c>
      <c r="V338" s="29"/>
      <c r="W338" s="29"/>
      <c r="X338" s="29"/>
    </row>
    <row r="339">
      <c r="A339" s="10">
        <v>44725.0</v>
      </c>
      <c r="B339" s="20" t="s">
        <v>30</v>
      </c>
      <c r="C339" s="20" t="s">
        <v>50</v>
      </c>
      <c r="D339" s="21">
        <v>117000.0</v>
      </c>
      <c r="V339" s="29"/>
      <c r="W339" s="29"/>
      <c r="X339" s="29"/>
    </row>
    <row r="340">
      <c r="A340" s="10">
        <v>44728.0</v>
      </c>
      <c r="B340" s="20" t="s">
        <v>30</v>
      </c>
      <c r="C340" s="20" t="s">
        <v>137</v>
      </c>
      <c r="D340" s="21">
        <v>40000.0</v>
      </c>
      <c r="V340" s="29"/>
      <c r="W340" s="29"/>
      <c r="X340" s="29"/>
    </row>
    <row r="341">
      <c r="A341" s="10">
        <v>44728.0</v>
      </c>
      <c r="B341" s="20" t="s">
        <v>30</v>
      </c>
      <c r="C341" s="20" t="s">
        <v>137</v>
      </c>
      <c r="D341" s="21">
        <v>45050.0</v>
      </c>
      <c r="V341" s="29"/>
      <c r="W341" s="29"/>
      <c r="X341" s="29"/>
    </row>
    <row r="342">
      <c r="A342" s="10">
        <v>44728.0</v>
      </c>
      <c r="B342" s="11" t="s">
        <v>64</v>
      </c>
      <c r="C342" s="20" t="s">
        <v>76</v>
      </c>
      <c r="D342" s="21">
        <v>531623.0</v>
      </c>
      <c r="V342" s="29"/>
      <c r="W342" s="29"/>
      <c r="X342" s="29"/>
    </row>
    <row r="343">
      <c r="A343" s="10">
        <v>44729.0</v>
      </c>
      <c r="B343" s="11" t="s">
        <v>64</v>
      </c>
      <c r="C343" s="11" t="s">
        <v>78</v>
      </c>
      <c r="D343" s="21">
        <v>70000.0</v>
      </c>
      <c r="V343" s="29"/>
      <c r="W343" s="29"/>
      <c r="X343" s="29"/>
    </row>
    <row r="344">
      <c r="A344" s="10">
        <v>44730.0</v>
      </c>
      <c r="B344" s="20" t="s">
        <v>30</v>
      </c>
      <c r="C344" s="20" t="s">
        <v>121</v>
      </c>
      <c r="D344" s="21">
        <v>47550.0</v>
      </c>
      <c r="V344" s="29"/>
      <c r="W344" s="29"/>
      <c r="X344" s="29"/>
    </row>
    <row r="345">
      <c r="A345" s="10">
        <v>44730.0</v>
      </c>
      <c r="B345" s="20" t="s">
        <v>30</v>
      </c>
      <c r="C345" s="20" t="s">
        <v>36</v>
      </c>
      <c r="D345" s="21">
        <v>49850.0</v>
      </c>
      <c r="V345" s="29"/>
      <c r="W345" s="29"/>
      <c r="X345" s="29"/>
    </row>
    <row r="346">
      <c r="A346" s="10">
        <v>44730.0</v>
      </c>
      <c r="B346" s="20" t="s">
        <v>30</v>
      </c>
      <c r="C346" s="20" t="s">
        <v>86</v>
      </c>
      <c r="D346" s="21">
        <v>90262.0</v>
      </c>
      <c r="V346" s="29"/>
      <c r="W346" s="29"/>
      <c r="X346" s="29"/>
    </row>
    <row r="347">
      <c r="A347" s="10">
        <v>44732.0</v>
      </c>
      <c r="B347" s="20" t="s">
        <v>30</v>
      </c>
      <c r="C347" s="20" t="s">
        <v>83</v>
      </c>
      <c r="D347" s="21">
        <v>11800.0</v>
      </c>
      <c r="V347" s="29"/>
      <c r="W347" s="29"/>
      <c r="X347" s="29"/>
    </row>
    <row r="348">
      <c r="A348" s="10">
        <v>44736.0</v>
      </c>
      <c r="B348" s="11" t="s">
        <v>64</v>
      </c>
      <c r="C348" s="11" t="s">
        <v>78</v>
      </c>
      <c r="D348" s="21">
        <v>70000.0</v>
      </c>
      <c r="V348" s="29"/>
      <c r="W348" s="29"/>
      <c r="X348" s="29"/>
    </row>
    <row r="349">
      <c r="A349" s="10">
        <v>44736.0</v>
      </c>
      <c r="B349" s="20" t="s">
        <v>30</v>
      </c>
      <c r="C349" s="20" t="s">
        <v>138</v>
      </c>
      <c r="D349" s="21">
        <v>147637.0</v>
      </c>
      <c r="V349" s="29"/>
      <c r="W349" s="29"/>
      <c r="X349" s="29"/>
    </row>
    <row r="350">
      <c r="A350" s="10">
        <v>44741.0</v>
      </c>
      <c r="B350" s="20" t="s">
        <v>15</v>
      </c>
      <c r="C350" s="20" t="s">
        <v>16</v>
      </c>
      <c r="D350" s="21">
        <v>89537.0</v>
      </c>
      <c r="V350" s="29"/>
      <c r="W350" s="29"/>
      <c r="X350" s="29"/>
    </row>
    <row r="351">
      <c r="A351" s="10">
        <v>44742.0</v>
      </c>
      <c r="B351" s="20" t="s">
        <v>30</v>
      </c>
      <c r="C351" s="20" t="s">
        <v>36</v>
      </c>
      <c r="D351" s="21">
        <v>223850.0</v>
      </c>
      <c r="V351" s="29"/>
      <c r="W351" s="29"/>
      <c r="X351" s="29"/>
    </row>
    <row r="352">
      <c r="A352" s="10">
        <v>44742.0</v>
      </c>
      <c r="B352" s="11" t="s">
        <v>64</v>
      </c>
      <c r="C352" s="11" t="s">
        <v>78</v>
      </c>
      <c r="D352" s="21">
        <v>70000.0</v>
      </c>
      <c r="V352" s="29"/>
      <c r="W352" s="29"/>
      <c r="X352" s="29"/>
    </row>
    <row r="353">
      <c r="A353" s="10">
        <v>44745.0</v>
      </c>
      <c r="B353" s="20" t="s">
        <v>26</v>
      </c>
      <c r="C353" s="20" t="s">
        <v>139</v>
      </c>
      <c r="D353" s="21">
        <v>100000.0</v>
      </c>
      <c r="V353" s="29"/>
      <c r="W353" s="29"/>
      <c r="X353" s="29"/>
    </row>
    <row r="354">
      <c r="A354" s="10">
        <v>44750.0</v>
      </c>
      <c r="B354" s="11" t="s">
        <v>64</v>
      </c>
      <c r="C354" s="11" t="s">
        <v>78</v>
      </c>
      <c r="D354" s="21">
        <v>70000.0</v>
      </c>
      <c r="V354" s="29"/>
      <c r="W354" s="29"/>
      <c r="X354" s="29"/>
    </row>
    <row r="355">
      <c r="A355" s="10">
        <v>44754.0</v>
      </c>
      <c r="B355" s="11" t="s">
        <v>64</v>
      </c>
      <c r="C355" s="20" t="s">
        <v>68</v>
      </c>
      <c r="D355" s="21">
        <v>134714.0</v>
      </c>
      <c r="V355" s="29"/>
      <c r="W355" s="29"/>
      <c r="X355" s="29"/>
    </row>
    <row r="356">
      <c r="A356" s="10">
        <v>44754.0</v>
      </c>
      <c r="B356" s="20" t="s">
        <v>26</v>
      </c>
      <c r="C356" s="20" t="s">
        <v>140</v>
      </c>
      <c r="D356" s="21">
        <v>140000.0</v>
      </c>
      <c r="V356" s="29"/>
      <c r="W356" s="29"/>
      <c r="X356" s="29"/>
    </row>
    <row r="357">
      <c r="A357" s="10">
        <v>44754.0</v>
      </c>
      <c r="B357" s="20" t="s">
        <v>26</v>
      </c>
      <c r="C357" s="20" t="s">
        <v>141</v>
      </c>
      <c r="D357" s="21">
        <v>170000.0</v>
      </c>
      <c r="V357" s="29"/>
      <c r="W357" s="29"/>
      <c r="X357" s="29"/>
    </row>
    <row r="358">
      <c r="A358" s="10">
        <v>44755.0</v>
      </c>
      <c r="B358" s="20" t="s">
        <v>30</v>
      </c>
      <c r="C358" s="20" t="s">
        <v>50</v>
      </c>
      <c r="D358" s="21">
        <v>57575.0</v>
      </c>
      <c r="V358" s="29"/>
      <c r="W358" s="29"/>
      <c r="X358" s="29"/>
    </row>
    <row r="359">
      <c r="A359" s="10">
        <v>44756.0</v>
      </c>
      <c r="B359" s="20" t="s">
        <v>15</v>
      </c>
      <c r="C359" s="20" t="s">
        <v>16</v>
      </c>
      <c r="D359" s="21">
        <v>78511.0</v>
      </c>
      <c r="V359" s="29"/>
      <c r="W359" s="29"/>
      <c r="X359" s="29"/>
    </row>
    <row r="360">
      <c r="A360" s="10">
        <v>44757.0</v>
      </c>
      <c r="B360" s="11" t="s">
        <v>64</v>
      </c>
      <c r="C360" s="11" t="s">
        <v>78</v>
      </c>
      <c r="D360" s="21">
        <v>70000.0</v>
      </c>
      <c r="V360" s="29"/>
      <c r="W360" s="29"/>
      <c r="X360" s="29"/>
    </row>
    <row r="361">
      <c r="A361" s="10">
        <v>44764.0</v>
      </c>
      <c r="B361" s="11" t="s">
        <v>64</v>
      </c>
      <c r="C361" s="11" t="s">
        <v>78</v>
      </c>
      <c r="D361" s="21">
        <v>70000.0</v>
      </c>
      <c r="V361" s="29"/>
      <c r="W361" s="29"/>
      <c r="X361" s="29"/>
    </row>
    <row r="362">
      <c r="A362" s="31">
        <v>44764.0</v>
      </c>
      <c r="B362" s="17" t="s">
        <v>64</v>
      </c>
      <c r="C362" s="17" t="s">
        <v>142</v>
      </c>
      <c r="D362" s="21">
        <v>89300.0</v>
      </c>
      <c r="V362" s="29"/>
      <c r="W362" s="29"/>
      <c r="X362" s="29"/>
    </row>
    <row r="363">
      <c r="A363" s="31">
        <v>44764.0</v>
      </c>
      <c r="B363" s="11" t="s">
        <v>64</v>
      </c>
      <c r="C363" s="17" t="s">
        <v>16</v>
      </c>
      <c r="D363" s="21">
        <v>72650.0</v>
      </c>
      <c r="V363" s="29"/>
      <c r="W363" s="29"/>
      <c r="X363" s="29"/>
    </row>
    <row r="364">
      <c r="A364" s="31">
        <v>44768.0</v>
      </c>
      <c r="B364" s="11" t="s">
        <v>64</v>
      </c>
      <c r="C364" s="17" t="s">
        <v>16</v>
      </c>
      <c r="D364" s="21">
        <v>99757.0</v>
      </c>
      <c r="V364" s="29"/>
      <c r="W364" s="29"/>
      <c r="X364" s="29"/>
    </row>
    <row r="365">
      <c r="A365" s="10">
        <v>44771.0</v>
      </c>
      <c r="B365" s="11" t="s">
        <v>64</v>
      </c>
      <c r="C365" s="11" t="s">
        <v>78</v>
      </c>
      <c r="D365" s="21">
        <v>70000.0</v>
      </c>
      <c r="V365" s="29"/>
      <c r="W365" s="29"/>
      <c r="X365" s="29"/>
    </row>
    <row r="366">
      <c r="A366" s="10">
        <v>44771.0</v>
      </c>
      <c r="B366" s="20" t="s">
        <v>30</v>
      </c>
      <c r="C366" s="20" t="s">
        <v>143</v>
      </c>
      <c r="D366" s="21">
        <v>63000.0</v>
      </c>
      <c r="V366" s="29"/>
      <c r="W366" s="29"/>
      <c r="X366" s="29"/>
    </row>
    <row r="367">
      <c r="A367" s="10">
        <v>44771.0</v>
      </c>
      <c r="B367" s="20" t="s">
        <v>30</v>
      </c>
      <c r="C367" s="20" t="s">
        <v>144</v>
      </c>
      <c r="D367" s="21">
        <v>27800.0</v>
      </c>
      <c r="V367" s="29"/>
      <c r="W367" s="29"/>
      <c r="X367" s="29"/>
    </row>
    <row r="368">
      <c r="A368" s="10">
        <v>44774.0</v>
      </c>
      <c r="B368" s="11" t="s">
        <v>64</v>
      </c>
      <c r="C368" s="17" t="s">
        <v>16</v>
      </c>
      <c r="D368" s="21">
        <v>43649.0</v>
      </c>
      <c r="V368" s="29"/>
      <c r="W368" s="29"/>
      <c r="X368" s="29"/>
    </row>
    <row r="369">
      <c r="A369" s="10">
        <v>44775.0</v>
      </c>
      <c r="B369" s="20" t="s">
        <v>30</v>
      </c>
      <c r="C369" s="20" t="s">
        <v>138</v>
      </c>
      <c r="D369" s="21">
        <v>380915.0</v>
      </c>
      <c r="V369" s="29"/>
      <c r="W369" s="29"/>
      <c r="X369" s="29"/>
    </row>
    <row r="370">
      <c r="A370" s="10">
        <v>44778.0</v>
      </c>
      <c r="B370" s="11" t="s">
        <v>64</v>
      </c>
      <c r="C370" s="11" t="s">
        <v>78</v>
      </c>
      <c r="D370" s="21">
        <v>70000.0</v>
      </c>
      <c r="V370" s="29"/>
      <c r="W370" s="29"/>
      <c r="X370" s="29"/>
    </row>
    <row r="371">
      <c r="A371" s="10">
        <v>44779.0</v>
      </c>
      <c r="B371" s="11" t="s">
        <v>64</v>
      </c>
      <c r="C371" s="17" t="s">
        <v>16</v>
      </c>
      <c r="D371" s="21">
        <v>89975.0</v>
      </c>
      <c r="V371" s="29"/>
      <c r="W371" s="29"/>
      <c r="X371" s="29"/>
    </row>
    <row r="372">
      <c r="A372" s="10">
        <v>44783.0</v>
      </c>
      <c r="B372" s="20" t="s">
        <v>30</v>
      </c>
      <c r="C372" s="20" t="s">
        <v>50</v>
      </c>
      <c r="D372" s="21">
        <v>136785.0</v>
      </c>
      <c r="V372" s="29"/>
      <c r="W372" s="29"/>
      <c r="X372" s="29"/>
    </row>
    <row r="373">
      <c r="A373" s="10">
        <v>44783.0</v>
      </c>
      <c r="B373" s="20" t="s">
        <v>30</v>
      </c>
      <c r="C373" s="20" t="s">
        <v>108</v>
      </c>
      <c r="D373" s="21">
        <v>22300.0</v>
      </c>
      <c r="V373" s="29"/>
      <c r="W373" s="29"/>
      <c r="X373" s="29"/>
    </row>
    <row r="374">
      <c r="A374" s="10">
        <v>44785.0</v>
      </c>
      <c r="B374" s="11" t="s">
        <v>64</v>
      </c>
      <c r="C374" s="11" t="s">
        <v>78</v>
      </c>
      <c r="D374" s="21">
        <v>70000.0</v>
      </c>
      <c r="V374" s="29"/>
      <c r="W374" s="29"/>
      <c r="X374" s="29"/>
    </row>
    <row r="375">
      <c r="A375" s="10">
        <v>44791.0</v>
      </c>
      <c r="B375" s="11" t="s">
        <v>64</v>
      </c>
      <c r="C375" s="17" t="s">
        <v>16</v>
      </c>
      <c r="D375" s="21">
        <v>91262.0</v>
      </c>
      <c r="V375" s="29"/>
      <c r="W375" s="29"/>
      <c r="X375" s="29"/>
    </row>
    <row r="376">
      <c r="A376" s="10">
        <v>44791.0</v>
      </c>
      <c r="B376" s="20" t="s">
        <v>30</v>
      </c>
      <c r="C376" s="17" t="s">
        <v>36</v>
      </c>
      <c r="D376" s="21">
        <v>91520.0</v>
      </c>
      <c r="V376" s="29"/>
      <c r="W376" s="29"/>
      <c r="X376" s="29"/>
    </row>
    <row r="377">
      <c r="A377" s="10">
        <v>44792.0</v>
      </c>
      <c r="B377" s="11" t="s">
        <v>64</v>
      </c>
      <c r="C377" s="11" t="s">
        <v>78</v>
      </c>
      <c r="D377" s="21">
        <v>70000.0</v>
      </c>
      <c r="V377" s="29"/>
      <c r="W377" s="29"/>
      <c r="X377" s="29"/>
    </row>
    <row r="378">
      <c r="A378" s="10">
        <v>44794.0</v>
      </c>
      <c r="B378" s="11" t="s">
        <v>64</v>
      </c>
      <c r="C378" s="17" t="s">
        <v>16</v>
      </c>
      <c r="D378" s="21">
        <v>55573.0</v>
      </c>
      <c r="V378" s="29"/>
      <c r="W378" s="29"/>
      <c r="X378" s="29"/>
    </row>
    <row r="379">
      <c r="A379" s="10">
        <v>44794.0</v>
      </c>
      <c r="B379" s="20" t="s">
        <v>30</v>
      </c>
      <c r="C379" s="17" t="s">
        <v>130</v>
      </c>
      <c r="D379" s="21">
        <v>45030.0</v>
      </c>
      <c r="V379" s="29"/>
      <c r="W379" s="29"/>
      <c r="X379" s="29"/>
    </row>
    <row r="380">
      <c r="A380" s="10">
        <v>44797.0</v>
      </c>
      <c r="B380" s="11" t="s">
        <v>64</v>
      </c>
      <c r="C380" s="17" t="s">
        <v>16</v>
      </c>
      <c r="D380" s="21">
        <v>42000.0</v>
      </c>
      <c r="V380" s="29"/>
      <c r="W380" s="29"/>
      <c r="X380" s="29"/>
    </row>
    <row r="381">
      <c r="A381" s="10">
        <v>44799.0</v>
      </c>
      <c r="B381" s="11" t="s">
        <v>64</v>
      </c>
      <c r="C381" s="11" t="s">
        <v>78</v>
      </c>
      <c r="D381" s="21">
        <v>70000.0</v>
      </c>
      <c r="V381" s="29"/>
      <c r="W381" s="29"/>
      <c r="X381" s="29"/>
    </row>
    <row r="382">
      <c r="A382" s="10">
        <v>44799.0</v>
      </c>
      <c r="B382" s="11" t="s">
        <v>64</v>
      </c>
      <c r="C382" s="17" t="s">
        <v>16</v>
      </c>
      <c r="D382" s="21">
        <v>96800.0</v>
      </c>
      <c r="V382" s="29"/>
      <c r="W382" s="29"/>
      <c r="X382" s="29"/>
    </row>
    <row r="383">
      <c r="A383" s="10">
        <v>44799.0</v>
      </c>
      <c r="B383" s="20" t="s">
        <v>26</v>
      </c>
      <c r="C383" s="20" t="s">
        <v>145</v>
      </c>
      <c r="D383" s="21">
        <v>50000.0</v>
      </c>
      <c r="V383" s="29"/>
      <c r="W383" s="29"/>
      <c r="X383" s="29"/>
    </row>
    <row r="384">
      <c r="A384" s="10">
        <v>44800.0</v>
      </c>
      <c r="B384" s="20" t="s">
        <v>30</v>
      </c>
      <c r="C384" s="20" t="s">
        <v>108</v>
      </c>
      <c r="D384" s="21">
        <v>27664.0</v>
      </c>
      <c r="V384" s="29"/>
      <c r="W384" s="29"/>
      <c r="X384" s="29"/>
    </row>
    <row r="385">
      <c r="A385" s="10">
        <v>44803.0</v>
      </c>
      <c r="B385" s="20" t="s">
        <v>30</v>
      </c>
      <c r="C385" s="20" t="s">
        <v>146</v>
      </c>
      <c r="D385" s="21">
        <f>857259-60000-213000-37740</f>
        <v>546519</v>
      </c>
      <c r="V385" s="29"/>
      <c r="W385" s="29"/>
      <c r="X385" s="29"/>
    </row>
    <row r="386">
      <c r="A386" s="10">
        <v>44805.0</v>
      </c>
      <c r="B386" s="11" t="s">
        <v>64</v>
      </c>
      <c r="C386" s="17" t="s">
        <v>16</v>
      </c>
      <c r="D386" s="21">
        <v>78991.0</v>
      </c>
      <c r="V386" s="29"/>
      <c r="W386" s="29"/>
      <c r="X386" s="29"/>
    </row>
    <row r="387">
      <c r="A387" s="10">
        <v>44806.0</v>
      </c>
      <c r="B387" s="11" t="s">
        <v>64</v>
      </c>
      <c r="C387" s="11" t="s">
        <v>78</v>
      </c>
      <c r="D387" s="21">
        <v>70000.0</v>
      </c>
      <c r="V387" s="29"/>
      <c r="W387" s="29"/>
      <c r="X387" s="29"/>
    </row>
    <row r="388">
      <c r="A388" s="10">
        <v>44807.0</v>
      </c>
      <c r="B388" s="20" t="s">
        <v>26</v>
      </c>
      <c r="C388" s="20" t="s">
        <v>147</v>
      </c>
      <c r="D388" s="21">
        <v>69300.0</v>
      </c>
      <c r="V388" s="29"/>
      <c r="W388" s="29"/>
      <c r="X388" s="29"/>
    </row>
    <row r="389">
      <c r="A389" s="10">
        <v>44811.0</v>
      </c>
      <c r="B389" s="11" t="s">
        <v>64</v>
      </c>
      <c r="C389" s="17" t="s">
        <v>16</v>
      </c>
      <c r="D389" s="21">
        <v>73295.0</v>
      </c>
      <c r="V389" s="29"/>
      <c r="W389" s="29"/>
      <c r="X389" s="29"/>
    </row>
    <row r="390">
      <c r="A390" s="10">
        <v>44813.0</v>
      </c>
      <c r="B390" s="11" t="s">
        <v>64</v>
      </c>
      <c r="C390" s="11" t="s">
        <v>78</v>
      </c>
      <c r="D390" s="21">
        <v>70000.0</v>
      </c>
      <c r="V390" s="29"/>
      <c r="W390" s="29"/>
      <c r="X390" s="29"/>
    </row>
    <row r="391">
      <c r="A391" s="10">
        <v>44814.0</v>
      </c>
      <c r="B391" s="11" t="s">
        <v>64</v>
      </c>
      <c r="C391" s="17" t="s">
        <v>68</v>
      </c>
      <c r="D391" s="21">
        <v>270685.0</v>
      </c>
      <c r="V391" s="29"/>
      <c r="W391" s="29"/>
      <c r="X391" s="29"/>
    </row>
    <row r="392">
      <c r="A392" s="10">
        <v>44818.0</v>
      </c>
      <c r="B392" s="20" t="s">
        <v>30</v>
      </c>
      <c r="C392" s="17" t="s">
        <v>36</v>
      </c>
      <c r="D392" s="21">
        <v>103730.0</v>
      </c>
      <c r="V392" s="29"/>
      <c r="W392" s="29"/>
      <c r="X392" s="29"/>
    </row>
    <row r="393">
      <c r="A393" s="10">
        <v>44818.0</v>
      </c>
      <c r="B393" s="20" t="s">
        <v>26</v>
      </c>
      <c r="C393" s="20" t="s">
        <v>147</v>
      </c>
      <c r="D393" s="21">
        <v>63400.0</v>
      </c>
      <c r="V393" s="29"/>
      <c r="W393" s="29"/>
      <c r="X393" s="29"/>
    </row>
    <row r="394">
      <c r="A394" s="10">
        <v>44820.0</v>
      </c>
      <c r="B394" s="11" t="s">
        <v>64</v>
      </c>
      <c r="C394" s="11" t="s">
        <v>78</v>
      </c>
      <c r="D394" s="21">
        <v>70000.0</v>
      </c>
      <c r="V394" s="29"/>
      <c r="W394" s="29"/>
      <c r="X394" s="29"/>
    </row>
    <row r="395">
      <c r="A395" s="10">
        <v>44821.0</v>
      </c>
      <c r="B395" s="20" t="s">
        <v>26</v>
      </c>
      <c r="C395" s="20" t="s">
        <v>121</v>
      </c>
      <c r="D395" s="21">
        <v>41500.0</v>
      </c>
      <c r="V395" s="29"/>
      <c r="W395" s="29"/>
      <c r="X395" s="29"/>
    </row>
    <row r="396">
      <c r="A396" s="10">
        <v>44822.0</v>
      </c>
      <c r="B396" s="11" t="s">
        <v>64</v>
      </c>
      <c r="C396" s="17" t="s">
        <v>16</v>
      </c>
      <c r="D396" s="21">
        <v>80416.0</v>
      </c>
      <c r="V396" s="29"/>
      <c r="W396" s="29"/>
      <c r="X396" s="29"/>
    </row>
    <row r="397">
      <c r="A397" s="10">
        <v>44827.0</v>
      </c>
      <c r="B397" s="11" t="s">
        <v>64</v>
      </c>
      <c r="C397" s="11" t="s">
        <v>78</v>
      </c>
      <c r="D397" s="21">
        <v>70000.0</v>
      </c>
      <c r="V397" s="29"/>
      <c r="W397" s="29"/>
      <c r="X397" s="29"/>
    </row>
    <row r="398">
      <c r="A398" s="10">
        <v>44828.0</v>
      </c>
      <c r="B398" s="20" t="s">
        <v>26</v>
      </c>
      <c r="C398" s="20" t="s">
        <v>148</v>
      </c>
      <c r="D398" s="21">
        <v>120000.0</v>
      </c>
      <c r="V398" s="29"/>
      <c r="W398" s="29"/>
      <c r="X398" s="29"/>
    </row>
    <row r="399">
      <c r="A399" s="10">
        <v>44829.0</v>
      </c>
      <c r="B399" s="20" t="s">
        <v>30</v>
      </c>
      <c r="C399" s="17" t="s">
        <v>108</v>
      </c>
      <c r="D399" s="21">
        <v>108350.0</v>
      </c>
      <c r="V399" s="29"/>
      <c r="W399" s="29"/>
      <c r="X399" s="29"/>
    </row>
    <row r="400">
      <c r="A400" s="10">
        <v>44829.0</v>
      </c>
      <c r="B400" s="11" t="s">
        <v>64</v>
      </c>
      <c r="C400" s="17" t="s">
        <v>16</v>
      </c>
      <c r="D400" s="21">
        <v>87800.0</v>
      </c>
      <c r="V400" s="29"/>
      <c r="W400" s="29"/>
      <c r="X400" s="29"/>
    </row>
    <row r="401">
      <c r="A401" s="10">
        <v>44832.0</v>
      </c>
      <c r="B401" s="20" t="s">
        <v>26</v>
      </c>
      <c r="C401" s="20" t="s">
        <v>149</v>
      </c>
      <c r="D401" s="21">
        <v>423287.0</v>
      </c>
      <c r="V401" s="29"/>
      <c r="W401" s="29"/>
      <c r="X401" s="29"/>
    </row>
    <row r="402">
      <c r="A402" s="10">
        <v>44836.0</v>
      </c>
      <c r="B402" s="20" t="s">
        <v>26</v>
      </c>
      <c r="C402" s="20" t="s">
        <v>150</v>
      </c>
      <c r="D402" s="21">
        <v>90200.0</v>
      </c>
      <c r="V402" s="29"/>
      <c r="W402" s="29"/>
      <c r="X402" s="29"/>
    </row>
    <row r="403">
      <c r="A403" s="10">
        <v>44836.0</v>
      </c>
      <c r="B403" s="11" t="s">
        <v>64</v>
      </c>
      <c r="C403" s="17" t="s">
        <v>16</v>
      </c>
      <c r="D403" s="21">
        <v>88465.0</v>
      </c>
      <c r="V403" s="29"/>
      <c r="W403" s="29"/>
      <c r="X403" s="29"/>
    </row>
    <row r="404">
      <c r="A404" s="10">
        <v>44837.0</v>
      </c>
      <c r="B404" s="20" t="s">
        <v>26</v>
      </c>
      <c r="C404" s="20" t="s">
        <v>101</v>
      </c>
      <c r="D404" s="21">
        <v>65349.0</v>
      </c>
      <c r="V404" s="29"/>
      <c r="W404" s="29"/>
      <c r="X404" s="29"/>
    </row>
    <row r="405">
      <c r="A405" s="10">
        <v>44841.0</v>
      </c>
      <c r="B405" s="11" t="s">
        <v>64</v>
      </c>
      <c r="C405" s="11" t="s">
        <v>78</v>
      </c>
      <c r="D405" s="21">
        <v>70000.0</v>
      </c>
      <c r="V405" s="29"/>
      <c r="W405" s="29"/>
      <c r="X405" s="29"/>
    </row>
    <row r="406">
      <c r="A406" s="10">
        <v>44843.0</v>
      </c>
      <c r="B406" s="11" t="s">
        <v>64</v>
      </c>
      <c r="C406" s="17" t="s">
        <v>68</v>
      </c>
      <c r="D406" s="21">
        <v>138978.0</v>
      </c>
      <c r="V406" s="29"/>
      <c r="W406" s="29"/>
      <c r="X406" s="29"/>
    </row>
    <row r="407">
      <c r="A407" s="10">
        <v>44846.0</v>
      </c>
      <c r="B407" s="20" t="s">
        <v>30</v>
      </c>
      <c r="C407" s="17" t="s">
        <v>36</v>
      </c>
      <c r="D407" s="21">
        <v>115720.0</v>
      </c>
      <c r="V407" s="29"/>
      <c r="W407" s="29"/>
      <c r="X407" s="29"/>
    </row>
    <row r="408">
      <c r="A408" s="10">
        <v>44847.0</v>
      </c>
      <c r="B408" s="11" t="s">
        <v>64</v>
      </c>
      <c r="C408" s="17" t="s">
        <v>16</v>
      </c>
      <c r="D408" s="21">
        <v>97831.0</v>
      </c>
      <c r="V408" s="29"/>
      <c r="W408" s="29"/>
      <c r="X408" s="29"/>
    </row>
    <row r="409">
      <c r="A409" s="32">
        <v>44851.0</v>
      </c>
      <c r="B409" s="33" t="s">
        <v>64</v>
      </c>
      <c r="C409" s="34" t="s">
        <v>68</v>
      </c>
      <c r="D409" s="35">
        <v>270685.0</v>
      </c>
      <c r="V409" s="29"/>
      <c r="W409" s="29"/>
      <c r="X409" s="29"/>
    </row>
    <row r="410">
      <c r="A410" s="10">
        <v>44853.0</v>
      </c>
      <c r="B410" s="20" t="s">
        <v>30</v>
      </c>
      <c r="C410" s="17" t="s">
        <v>108</v>
      </c>
      <c r="D410" s="21">
        <v>185800.0</v>
      </c>
      <c r="V410" s="29"/>
      <c r="W410" s="29"/>
      <c r="X410" s="29"/>
    </row>
    <row r="411">
      <c r="A411" s="10">
        <v>44855.0</v>
      </c>
      <c r="B411" s="11" t="s">
        <v>64</v>
      </c>
      <c r="C411" s="11" t="s">
        <v>78</v>
      </c>
      <c r="D411" s="21">
        <v>70000.0</v>
      </c>
      <c r="V411" s="29"/>
      <c r="W411" s="29"/>
      <c r="X411" s="29"/>
    </row>
    <row r="412">
      <c r="A412" s="10">
        <v>44855.0</v>
      </c>
      <c r="B412" s="11" t="s">
        <v>64</v>
      </c>
      <c r="C412" s="20" t="s">
        <v>16</v>
      </c>
      <c r="D412" s="21">
        <v>84995.0</v>
      </c>
      <c r="V412" s="29"/>
      <c r="W412" s="29"/>
      <c r="X412" s="29"/>
    </row>
    <row r="413">
      <c r="A413" s="36">
        <v>44857.0</v>
      </c>
      <c r="B413" s="11" t="s">
        <v>64</v>
      </c>
      <c r="C413" s="20" t="s">
        <v>76</v>
      </c>
      <c r="D413" s="21">
        <v>595056.0</v>
      </c>
      <c r="V413" s="29"/>
      <c r="W413" s="29"/>
      <c r="X413" s="29"/>
    </row>
    <row r="414">
      <c r="A414" s="36">
        <v>44857.0</v>
      </c>
      <c r="B414" s="20" t="s">
        <v>30</v>
      </c>
      <c r="C414" s="20" t="s">
        <v>83</v>
      </c>
      <c r="D414" s="21">
        <v>86150.0</v>
      </c>
      <c r="V414" s="29"/>
      <c r="W414" s="29"/>
      <c r="X414" s="29"/>
    </row>
    <row r="415">
      <c r="A415" s="36">
        <v>44863.0</v>
      </c>
      <c r="B415" s="20" t="s">
        <v>127</v>
      </c>
      <c r="C415" s="20" t="s">
        <v>151</v>
      </c>
      <c r="D415" s="21">
        <v>193820.0</v>
      </c>
      <c r="V415" s="29"/>
      <c r="W415" s="29"/>
      <c r="X415" s="29"/>
    </row>
    <row r="416">
      <c r="A416" s="36">
        <v>44863.0</v>
      </c>
      <c r="B416" s="11" t="s">
        <v>64</v>
      </c>
      <c r="C416" s="20" t="s">
        <v>16</v>
      </c>
      <c r="D416" s="21">
        <v>95181.0</v>
      </c>
      <c r="V416" s="29"/>
      <c r="W416" s="29"/>
      <c r="X416" s="29"/>
    </row>
    <row r="417">
      <c r="A417" s="36">
        <v>44868.0</v>
      </c>
      <c r="B417" s="20" t="s">
        <v>30</v>
      </c>
      <c r="C417" s="20" t="s">
        <v>138</v>
      </c>
      <c r="D417" s="21">
        <v>512212.0</v>
      </c>
      <c r="V417" s="29"/>
      <c r="W417" s="29"/>
      <c r="X417" s="29"/>
    </row>
    <row r="418">
      <c r="A418" s="36">
        <v>44869.0</v>
      </c>
      <c r="B418" s="11" t="s">
        <v>64</v>
      </c>
      <c r="C418" s="11" t="s">
        <v>78</v>
      </c>
      <c r="D418" s="21">
        <v>70000.0</v>
      </c>
      <c r="V418" s="29"/>
      <c r="W418" s="29"/>
      <c r="X418" s="29"/>
    </row>
    <row r="419">
      <c r="A419" s="36">
        <v>44870.0</v>
      </c>
      <c r="B419" s="20" t="s">
        <v>26</v>
      </c>
      <c r="C419" s="20" t="s">
        <v>121</v>
      </c>
      <c r="D419" s="21">
        <v>42650.0</v>
      </c>
      <c r="V419" s="29"/>
      <c r="W419" s="29"/>
      <c r="X419" s="29"/>
    </row>
    <row r="420">
      <c r="A420" s="36">
        <v>44873.0</v>
      </c>
      <c r="B420" s="11" t="s">
        <v>64</v>
      </c>
      <c r="C420" s="20" t="s">
        <v>16</v>
      </c>
      <c r="D420" s="21">
        <v>81689.0</v>
      </c>
      <c r="V420" s="29"/>
      <c r="W420" s="29"/>
      <c r="X420" s="29"/>
    </row>
    <row r="421">
      <c r="A421" s="36">
        <v>44874.0</v>
      </c>
      <c r="B421" s="20" t="s">
        <v>26</v>
      </c>
      <c r="C421" s="20" t="s">
        <v>152</v>
      </c>
      <c r="D421" s="21">
        <v>25000.0</v>
      </c>
      <c r="V421" s="29"/>
      <c r="W421" s="29"/>
      <c r="X421" s="29"/>
    </row>
    <row r="422">
      <c r="A422" s="36">
        <v>44874.0</v>
      </c>
      <c r="B422" s="11" t="s">
        <v>64</v>
      </c>
      <c r="C422" s="20" t="s">
        <v>68</v>
      </c>
      <c r="D422" s="21">
        <v>139978.0</v>
      </c>
      <c r="V422" s="29"/>
      <c r="W422" s="29"/>
      <c r="X422" s="29"/>
    </row>
    <row r="423">
      <c r="A423" s="36">
        <v>44875.0</v>
      </c>
      <c r="B423" s="11" t="s">
        <v>64</v>
      </c>
      <c r="C423" s="11" t="s">
        <v>78</v>
      </c>
      <c r="D423" s="21">
        <v>70000.0</v>
      </c>
      <c r="V423" s="29"/>
      <c r="W423" s="29"/>
      <c r="X423" s="29"/>
    </row>
    <row r="424">
      <c r="A424" s="36">
        <v>44875.0</v>
      </c>
      <c r="B424" s="20" t="s">
        <v>26</v>
      </c>
      <c r="C424" s="20" t="s">
        <v>121</v>
      </c>
      <c r="D424" s="21">
        <v>64250.0</v>
      </c>
      <c r="V424" s="29"/>
      <c r="W424" s="29"/>
      <c r="X424" s="29"/>
    </row>
    <row r="425">
      <c r="A425" s="36">
        <v>44876.0</v>
      </c>
      <c r="B425" s="20" t="s">
        <v>26</v>
      </c>
      <c r="C425" s="20" t="s">
        <v>121</v>
      </c>
      <c r="D425" s="21">
        <v>57000.0</v>
      </c>
      <c r="V425" s="29"/>
      <c r="W425" s="29"/>
      <c r="X425" s="29"/>
    </row>
    <row r="426">
      <c r="A426" s="36">
        <v>44877.0</v>
      </c>
      <c r="B426" s="20" t="s">
        <v>30</v>
      </c>
      <c r="C426" s="20" t="s">
        <v>130</v>
      </c>
      <c r="D426" s="21">
        <v>65800.0</v>
      </c>
      <c r="V426" s="29"/>
      <c r="W426" s="29"/>
      <c r="X426" s="29"/>
    </row>
    <row r="427">
      <c r="A427" s="36">
        <v>44878.0</v>
      </c>
      <c r="B427" s="20" t="s">
        <v>30</v>
      </c>
      <c r="C427" s="20" t="s">
        <v>153</v>
      </c>
      <c r="D427" s="21">
        <v>136206.0</v>
      </c>
      <c r="V427" s="29"/>
      <c r="W427" s="29"/>
      <c r="X427" s="29"/>
    </row>
    <row r="428">
      <c r="A428" s="36">
        <v>44880.0</v>
      </c>
      <c r="B428" s="20" t="s">
        <v>30</v>
      </c>
      <c r="C428" s="20" t="s">
        <v>36</v>
      </c>
      <c r="D428" s="21">
        <v>111840.0</v>
      </c>
      <c r="V428" s="29"/>
      <c r="W428" s="29"/>
      <c r="X428" s="29"/>
    </row>
    <row r="429">
      <c r="A429" s="36">
        <v>44880.0</v>
      </c>
      <c r="B429" s="20" t="s">
        <v>26</v>
      </c>
      <c r="C429" s="20" t="s">
        <v>154</v>
      </c>
      <c r="D429" s="21">
        <v>100000.0</v>
      </c>
      <c r="V429" s="29"/>
      <c r="W429" s="29"/>
      <c r="X429" s="29"/>
    </row>
    <row r="430">
      <c r="A430" s="36">
        <v>44882.0</v>
      </c>
      <c r="B430" s="11" t="s">
        <v>64</v>
      </c>
      <c r="C430" s="20" t="s">
        <v>16</v>
      </c>
      <c r="D430" s="21">
        <v>94511.0</v>
      </c>
      <c r="V430" s="29"/>
      <c r="W430" s="29"/>
      <c r="X430" s="29"/>
    </row>
    <row r="431">
      <c r="A431" s="36">
        <v>44882.0</v>
      </c>
      <c r="B431" s="11" t="s">
        <v>64</v>
      </c>
      <c r="C431" s="11" t="s">
        <v>78</v>
      </c>
      <c r="D431" s="21">
        <v>70000.0</v>
      </c>
      <c r="V431" s="29"/>
      <c r="W431" s="29"/>
      <c r="X431" s="29"/>
    </row>
    <row r="432">
      <c r="A432" s="36">
        <v>44885.0</v>
      </c>
      <c r="B432" s="20" t="s">
        <v>30</v>
      </c>
      <c r="C432" s="20" t="s">
        <v>155</v>
      </c>
      <c r="D432" s="21">
        <v>46220.0</v>
      </c>
      <c r="V432" s="29"/>
      <c r="W432" s="29"/>
      <c r="X432" s="29"/>
    </row>
    <row r="433">
      <c r="A433" s="36">
        <v>44886.0</v>
      </c>
      <c r="B433" s="20" t="s">
        <v>30</v>
      </c>
      <c r="C433" s="20" t="s">
        <v>156</v>
      </c>
      <c r="D433" s="21">
        <v>55000.0</v>
      </c>
      <c r="V433" s="29"/>
      <c r="W433" s="29"/>
      <c r="X433" s="29"/>
    </row>
    <row r="434">
      <c r="A434" s="36">
        <v>44887.0</v>
      </c>
      <c r="B434" s="11" t="s">
        <v>64</v>
      </c>
      <c r="C434" s="11" t="s">
        <v>78</v>
      </c>
      <c r="D434" s="21">
        <v>70000.0</v>
      </c>
      <c r="V434" s="29"/>
      <c r="W434" s="29"/>
      <c r="X434" s="29"/>
    </row>
    <row r="435">
      <c r="A435" s="36">
        <v>44890.0</v>
      </c>
      <c r="B435" s="11" t="s">
        <v>64</v>
      </c>
      <c r="C435" s="20" t="s">
        <v>76</v>
      </c>
      <c r="D435" s="21">
        <v>285191.0</v>
      </c>
      <c r="V435" s="29"/>
      <c r="W435" s="29"/>
      <c r="X435" s="29"/>
    </row>
    <row r="436">
      <c r="A436" s="36">
        <v>44890.0</v>
      </c>
      <c r="B436" s="11" t="s">
        <v>64</v>
      </c>
      <c r="C436" s="20" t="s">
        <v>16</v>
      </c>
      <c r="D436" s="21">
        <v>94511.0</v>
      </c>
      <c r="V436" s="29"/>
      <c r="W436" s="29"/>
      <c r="X436" s="29"/>
    </row>
    <row r="437">
      <c r="A437" s="36">
        <v>44894.0</v>
      </c>
      <c r="B437" s="11" t="s">
        <v>64</v>
      </c>
      <c r="C437" s="11" t="s">
        <v>78</v>
      </c>
      <c r="D437" s="21">
        <v>70000.0</v>
      </c>
      <c r="V437" s="29"/>
      <c r="W437" s="29"/>
      <c r="X437" s="29"/>
    </row>
    <row r="438">
      <c r="A438" s="31">
        <v>44896.0</v>
      </c>
      <c r="B438" s="17" t="s">
        <v>26</v>
      </c>
      <c r="C438" s="17" t="s">
        <v>157</v>
      </c>
      <c r="D438" s="21">
        <v>164900.0</v>
      </c>
      <c r="V438" s="29"/>
      <c r="W438" s="29"/>
      <c r="X438" s="29"/>
    </row>
    <row r="439">
      <c r="A439" s="31">
        <v>44897.0</v>
      </c>
      <c r="B439" s="11" t="s">
        <v>64</v>
      </c>
      <c r="C439" s="20" t="s">
        <v>16</v>
      </c>
      <c r="D439" s="21">
        <v>98115.0</v>
      </c>
      <c r="V439" s="29"/>
      <c r="W439" s="29"/>
      <c r="X439" s="29"/>
    </row>
    <row r="440">
      <c r="A440" s="31">
        <v>44900.0</v>
      </c>
      <c r="B440" s="17" t="s">
        <v>26</v>
      </c>
      <c r="C440" s="17" t="s">
        <v>158</v>
      </c>
      <c r="D440" s="21">
        <v>87000.0</v>
      </c>
      <c r="V440" s="29"/>
      <c r="W440" s="29"/>
      <c r="X440" s="29"/>
    </row>
    <row r="441">
      <c r="A441" s="31">
        <v>44901.0</v>
      </c>
      <c r="B441" s="11" t="s">
        <v>64</v>
      </c>
      <c r="C441" s="11" t="s">
        <v>78</v>
      </c>
      <c r="D441" s="21">
        <v>70000.0</v>
      </c>
      <c r="V441" s="29"/>
      <c r="W441" s="29"/>
      <c r="X441" s="29"/>
    </row>
    <row r="442">
      <c r="A442" s="31">
        <v>44902.0</v>
      </c>
      <c r="B442" s="17" t="s">
        <v>30</v>
      </c>
      <c r="C442" s="17" t="s">
        <v>36</v>
      </c>
      <c r="D442" s="21">
        <v>260570.0</v>
      </c>
      <c r="V442" s="29"/>
      <c r="W442" s="29"/>
      <c r="X442" s="29"/>
    </row>
    <row r="443">
      <c r="A443" s="31">
        <v>44902.0</v>
      </c>
      <c r="B443" s="17" t="s">
        <v>30</v>
      </c>
      <c r="C443" s="17" t="s">
        <v>137</v>
      </c>
      <c r="D443" s="21">
        <v>80000.0</v>
      </c>
      <c r="V443" s="29"/>
      <c r="W443" s="29"/>
      <c r="X443" s="29"/>
    </row>
    <row r="444">
      <c r="A444" s="31">
        <v>44905.0</v>
      </c>
      <c r="B444" s="17" t="s">
        <v>30</v>
      </c>
      <c r="C444" s="17" t="s">
        <v>108</v>
      </c>
      <c r="D444" s="21">
        <v>69982.0</v>
      </c>
      <c r="V444" s="29"/>
      <c r="W444" s="29"/>
      <c r="X444" s="29"/>
    </row>
    <row r="445">
      <c r="A445" s="36">
        <v>44908.0</v>
      </c>
      <c r="B445" s="17" t="s">
        <v>30</v>
      </c>
      <c r="C445" s="17" t="s">
        <v>36</v>
      </c>
      <c r="D445" s="21">
        <v>59710.0</v>
      </c>
      <c r="V445" s="29"/>
      <c r="W445" s="29"/>
      <c r="X445" s="29"/>
    </row>
    <row r="446">
      <c r="A446" s="36">
        <v>44908.0</v>
      </c>
      <c r="B446" s="11" t="s">
        <v>64</v>
      </c>
      <c r="C446" s="11" t="s">
        <v>78</v>
      </c>
      <c r="D446" s="21">
        <v>70000.0</v>
      </c>
      <c r="V446" s="29"/>
      <c r="W446" s="29"/>
      <c r="X446" s="29"/>
    </row>
    <row r="447">
      <c r="A447" s="36">
        <v>44909.0</v>
      </c>
      <c r="B447" s="11" t="s">
        <v>64</v>
      </c>
      <c r="C447" s="20" t="s">
        <v>16</v>
      </c>
      <c r="D447" s="21">
        <v>96400.0</v>
      </c>
      <c r="V447" s="29"/>
      <c r="W447" s="29"/>
      <c r="X447" s="29"/>
    </row>
    <row r="448">
      <c r="A448" s="36">
        <v>44909.0</v>
      </c>
      <c r="B448" s="17" t="s">
        <v>159</v>
      </c>
      <c r="C448" s="17" t="s">
        <v>68</v>
      </c>
      <c r="D448" s="21">
        <v>139978.0</v>
      </c>
      <c r="V448" s="29"/>
      <c r="W448" s="29"/>
      <c r="X448" s="29"/>
    </row>
    <row r="449">
      <c r="A449" s="36">
        <v>44914.0</v>
      </c>
      <c r="B449" s="17" t="s">
        <v>26</v>
      </c>
      <c r="C449" s="17" t="s">
        <v>50</v>
      </c>
      <c r="D449" s="21">
        <v>86500.0</v>
      </c>
      <c r="V449" s="29"/>
      <c r="W449" s="29"/>
      <c r="X449" s="29"/>
    </row>
    <row r="450">
      <c r="A450" s="36">
        <v>44915.0</v>
      </c>
      <c r="B450" s="11" t="s">
        <v>64</v>
      </c>
      <c r="C450" s="11" t="s">
        <v>78</v>
      </c>
      <c r="D450" s="21">
        <v>70000.0</v>
      </c>
      <c r="V450" s="29"/>
      <c r="W450" s="29"/>
      <c r="X450" s="29"/>
    </row>
    <row r="451">
      <c r="A451" s="36">
        <v>44917.0</v>
      </c>
      <c r="B451" s="11" t="s">
        <v>64</v>
      </c>
      <c r="C451" s="20" t="s">
        <v>16</v>
      </c>
      <c r="D451" s="21">
        <v>90970.0</v>
      </c>
      <c r="V451" s="29"/>
      <c r="W451" s="29"/>
      <c r="X451" s="29"/>
    </row>
    <row r="452">
      <c r="A452" s="36">
        <v>44917.0</v>
      </c>
      <c r="B452" s="17" t="s">
        <v>26</v>
      </c>
      <c r="C452" s="17" t="s">
        <v>160</v>
      </c>
      <c r="D452" s="21">
        <v>32000.0</v>
      </c>
      <c r="V452" s="29"/>
      <c r="W452" s="29"/>
      <c r="X452" s="29"/>
    </row>
    <row r="453">
      <c r="A453" s="36">
        <v>44919.0</v>
      </c>
      <c r="B453" s="17" t="s">
        <v>26</v>
      </c>
      <c r="C453" s="17" t="s">
        <v>160</v>
      </c>
      <c r="D453" s="21">
        <v>165192.0</v>
      </c>
      <c r="V453" s="29"/>
      <c r="W453" s="29"/>
      <c r="X453" s="29"/>
    </row>
    <row r="454">
      <c r="A454" s="36">
        <v>44921.0</v>
      </c>
      <c r="B454" s="11" t="s">
        <v>64</v>
      </c>
      <c r="C454" s="20" t="s">
        <v>16</v>
      </c>
      <c r="D454" s="21">
        <v>44300.0</v>
      </c>
      <c r="V454" s="29"/>
      <c r="W454" s="29"/>
      <c r="X454" s="29"/>
    </row>
    <row r="455">
      <c r="A455" s="36">
        <v>44922.0</v>
      </c>
      <c r="B455" s="11" t="s">
        <v>64</v>
      </c>
      <c r="C455" s="11" t="s">
        <v>78</v>
      </c>
      <c r="D455" s="21">
        <f>240000</f>
        <v>240000</v>
      </c>
      <c r="V455" s="29"/>
      <c r="W455" s="29"/>
      <c r="X455" s="29"/>
    </row>
    <row r="456">
      <c r="A456" s="36">
        <v>44923.0</v>
      </c>
      <c r="B456" s="17" t="s">
        <v>30</v>
      </c>
      <c r="C456" s="17" t="s">
        <v>36</v>
      </c>
      <c r="D456" s="21">
        <v>62880.0</v>
      </c>
      <c r="V456" s="29"/>
      <c r="W456" s="29"/>
      <c r="X456" s="29"/>
    </row>
    <row r="457">
      <c r="A457" s="36">
        <v>44927.0</v>
      </c>
      <c r="B457" s="11" t="s">
        <v>64</v>
      </c>
      <c r="C457" s="20" t="s">
        <v>76</v>
      </c>
      <c r="D457" s="21">
        <v>294165.0</v>
      </c>
      <c r="V457" s="29"/>
      <c r="W457" s="29"/>
      <c r="X457" s="29"/>
    </row>
    <row r="458">
      <c r="A458" s="36">
        <v>44929.0</v>
      </c>
      <c r="B458" s="11" t="s">
        <v>64</v>
      </c>
      <c r="C458" s="20" t="s">
        <v>16</v>
      </c>
      <c r="D458" s="21">
        <v>36000.0</v>
      </c>
      <c r="V458" s="29"/>
      <c r="W458" s="29"/>
      <c r="X458" s="29"/>
    </row>
    <row r="459">
      <c r="A459" s="36">
        <v>44929.0</v>
      </c>
      <c r="B459" s="11" t="s">
        <v>64</v>
      </c>
      <c r="C459" s="11" t="s">
        <v>78</v>
      </c>
      <c r="D459" s="21">
        <v>80000.0</v>
      </c>
      <c r="V459" s="29"/>
      <c r="W459" s="29"/>
      <c r="X459" s="29"/>
    </row>
    <row r="460">
      <c r="A460" s="36">
        <v>44929.0</v>
      </c>
      <c r="B460" s="17" t="s">
        <v>30</v>
      </c>
      <c r="C460" s="20" t="s">
        <v>161</v>
      </c>
      <c r="D460" s="21">
        <v>66869.0</v>
      </c>
      <c r="V460" s="29"/>
      <c r="W460" s="29"/>
      <c r="X460" s="29"/>
    </row>
    <row r="461">
      <c r="A461" s="36">
        <v>44931.0</v>
      </c>
      <c r="B461" s="17" t="s">
        <v>30</v>
      </c>
      <c r="C461" s="17" t="s">
        <v>36</v>
      </c>
      <c r="D461" s="21">
        <v>79620.0</v>
      </c>
      <c r="V461" s="29"/>
      <c r="W461" s="29"/>
      <c r="X461" s="29"/>
    </row>
    <row r="462">
      <c r="A462" s="36">
        <v>44931.0</v>
      </c>
      <c r="B462" s="17" t="s">
        <v>30</v>
      </c>
      <c r="C462" s="17" t="s">
        <v>86</v>
      </c>
      <c r="D462" s="21">
        <v>404234.0</v>
      </c>
      <c r="V462" s="29"/>
      <c r="W462" s="29"/>
      <c r="X462" s="29"/>
    </row>
    <row r="463">
      <c r="A463" s="36">
        <v>44933.0</v>
      </c>
      <c r="B463" s="11" t="s">
        <v>64</v>
      </c>
      <c r="C463" s="20" t="s">
        <v>16</v>
      </c>
      <c r="D463" s="21">
        <v>63137.0</v>
      </c>
      <c r="V463" s="29"/>
      <c r="W463" s="29"/>
      <c r="X463" s="29"/>
    </row>
    <row r="464">
      <c r="A464" s="36">
        <v>44935.0</v>
      </c>
      <c r="B464" s="11" t="s">
        <v>64</v>
      </c>
      <c r="C464" s="17" t="s">
        <v>68</v>
      </c>
      <c r="D464" s="21">
        <v>139978.0</v>
      </c>
      <c r="V464" s="29"/>
      <c r="W464" s="29"/>
      <c r="X464" s="29"/>
    </row>
    <row r="465">
      <c r="A465" s="36">
        <v>44936.0</v>
      </c>
      <c r="B465" s="11" t="s">
        <v>64</v>
      </c>
      <c r="C465" s="11" t="s">
        <v>78</v>
      </c>
      <c r="D465" s="21">
        <v>80000.0</v>
      </c>
      <c r="V465" s="29"/>
      <c r="W465" s="29"/>
      <c r="X465" s="29"/>
    </row>
    <row r="466">
      <c r="A466" s="36">
        <v>44940.0</v>
      </c>
      <c r="B466" s="11" t="s">
        <v>64</v>
      </c>
      <c r="C466" s="20" t="s">
        <v>16</v>
      </c>
      <c r="D466" s="21">
        <v>97598.0</v>
      </c>
      <c r="V466" s="29"/>
      <c r="W466" s="29"/>
      <c r="X466" s="29"/>
    </row>
    <row r="467">
      <c r="A467" s="36">
        <v>44941.0</v>
      </c>
      <c r="B467" s="17" t="s">
        <v>26</v>
      </c>
      <c r="C467" s="17" t="s">
        <v>162</v>
      </c>
      <c r="D467" s="21">
        <v>44900.0</v>
      </c>
      <c r="V467" s="29"/>
      <c r="W467" s="29"/>
      <c r="X467" s="29"/>
    </row>
    <row r="468">
      <c r="A468" s="36">
        <v>44942.0</v>
      </c>
      <c r="B468" s="17" t="s">
        <v>26</v>
      </c>
      <c r="C468" s="17" t="s">
        <v>50</v>
      </c>
      <c r="D468" s="21">
        <v>59000.0</v>
      </c>
      <c r="V468" s="29"/>
      <c r="W468" s="29"/>
      <c r="X468" s="29"/>
    </row>
    <row r="469">
      <c r="A469" s="36">
        <v>44943.0</v>
      </c>
      <c r="B469" s="11" t="s">
        <v>64</v>
      </c>
      <c r="C469" s="11" t="s">
        <v>78</v>
      </c>
      <c r="D469" s="21">
        <v>80000.0</v>
      </c>
      <c r="V469" s="29"/>
      <c r="W469" s="29"/>
      <c r="X469" s="29"/>
    </row>
    <row r="470">
      <c r="A470" s="36">
        <v>44943.0</v>
      </c>
      <c r="B470" s="17" t="s">
        <v>26</v>
      </c>
      <c r="C470" s="17" t="s">
        <v>80</v>
      </c>
      <c r="D470" s="21">
        <v>61897.0</v>
      </c>
      <c r="V470" s="29"/>
      <c r="W470" s="29"/>
      <c r="X470" s="29"/>
    </row>
    <row r="471">
      <c r="A471" s="36">
        <v>44946.0</v>
      </c>
      <c r="B471" s="17" t="s">
        <v>30</v>
      </c>
      <c r="C471" s="17" t="s">
        <v>163</v>
      </c>
      <c r="D471" s="21">
        <v>234500.0</v>
      </c>
      <c r="V471" s="29"/>
      <c r="W471" s="29"/>
      <c r="X471" s="29"/>
    </row>
    <row r="472">
      <c r="A472" s="36">
        <v>44948.0</v>
      </c>
      <c r="B472" s="17" t="s">
        <v>30</v>
      </c>
      <c r="C472" s="17" t="s">
        <v>164</v>
      </c>
      <c r="D472" s="21">
        <v>226050.0</v>
      </c>
      <c r="V472" s="29"/>
      <c r="W472" s="29"/>
      <c r="X472" s="29"/>
    </row>
    <row r="473">
      <c r="A473" s="36">
        <v>44949.0</v>
      </c>
      <c r="B473" s="17" t="s">
        <v>26</v>
      </c>
      <c r="C473" s="17" t="s">
        <v>36</v>
      </c>
      <c r="D473" s="21">
        <v>50850.0</v>
      </c>
      <c r="V473" s="29"/>
      <c r="W473" s="29"/>
      <c r="X473" s="29"/>
    </row>
    <row r="474">
      <c r="A474" s="36">
        <v>44950.0</v>
      </c>
      <c r="B474" s="11" t="s">
        <v>64</v>
      </c>
      <c r="C474" s="20" t="s">
        <v>16</v>
      </c>
      <c r="D474" s="21">
        <v>105955.0</v>
      </c>
      <c r="V474" s="29"/>
      <c r="W474" s="29"/>
      <c r="X474" s="29"/>
    </row>
    <row r="475">
      <c r="A475" s="36">
        <v>44954.0</v>
      </c>
      <c r="B475" s="20" t="s">
        <v>30</v>
      </c>
      <c r="C475" s="20" t="s">
        <v>121</v>
      </c>
      <c r="D475" s="21">
        <v>122870.0</v>
      </c>
      <c r="V475" s="29"/>
      <c r="W475" s="29"/>
      <c r="X475" s="29"/>
    </row>
    <row r="476">
      <c r="A476" s="36">
        <v>44958.0</v>
      </c>
      <c r="B476" s="20" t="s">
        <v>26</v>
      </c>
      <c r="C476" s="20" t="s">
        <v>165</v>
      </c>
      <c r="D476" s="21">
        <v>180790.0</v>
      </c>
      <c r="V476" s="29"/>
      <c r="W476" s="29"/>
      <c r="X476" s="29"/>
    </row>
    <row r="477">
      <c r="A477" s="36">
        <v>44959.0</v>
      </c>
      <c r="B477" s="20" t="s">
        <v>30</v>
      </c>
      <c r="C477" s="20" t="s">
        <v>86</v>
      </c>
      <c r="D477" s="21">
        <v>594241.0</v>
      </c>
      <c r="V477" s="29"/>
      <c r="W477" s="29"/>
      <c r="X477" s="29"/>
    </row>
    <row r="478">
      <c r="A478" s="36">
        <v>44961.0</v>
      </c>
      <c r="B478" s="20" t="s">
        <v>15</v>
      </c>
      <c r="C478" s="20" t="s">
        <v>16</v>
      </c>
      <c r="D478" s="21">
        <v>104515.0</v>
      </c>
      <c r="V478" s="29"/>
      <c r="W478" s="29"/>
      <c r="X478" s="29"/>
    </row>
    <row r="479">
      <c r="A479" s="36">
        <v>44965.0</v>
      </c>
      <c r="B479" s="20" t="s">
        <v>26</v>
      </c>
      <c r="C479" s="20" t="s">
        <v>166</v>
      </c>
      <c r="D479" s="35">
        <v>244891.0</v>
      </c>
      <c r="V479" s="29"/>
      <c r="W479" s="29"/>
      <c r="X479" s="29"/>
    </row>
    <row r="480">
      <c r="A480" s="36">
        <v>44965.0</v>
      </c>
      <c r="B480" s="20" t="s">
        <v>64</v>
      </c>
      <c r="C480" s="20" t="s">
        <v>78</v>
      </c>
      <c r="D480" s="21">
        <v>90000.0</v>
      </c>
      <c r="V480" s="29"/>
      <c r="W480" s="29"/>
      <c r="X480" s="29"/>
    </row>
    <row r="481">
      <c r="A481" s="36">
        <v>44970.0</v>
      </c>
      <c r="B481" s="20" t="s">
        <v>30</v>
      </c>
      <c r="C481" s="20" t="s">
        <v>36</v>
      </c>
      <c r="D481" s="21">
        <v>173470.0</v>
      </c>
      <c r="V481" s="29"/>
      <c r="W481" s="29"/>
      <c r="X481" s="29"/>
    </row>
    <row r="482">
      <c r="A482" s="36">
        <v>44975.0</v>
      </c>
      <c r="B482" s="20" t="s">
        <v>15</v>
      </c>
      <c r="C482" s="20" t="s">
        <v>16</v>
      </c>
      <c r="D482" s="21">
        <v>98423.0</v>
      </c>
      <c r="V482" s="29"/>
      <c r="W482" s="29"/>
      <c r="X482" s="29"/>
    </row>
    <row r="483">
      <c r="A483" s="36">
        <v>44976.0</v>
      </c>
      <c r="B483" s="20" t="s">
        <v>30</v>
      </c>
      <c r="C483" s="20" t="s">
        <v>86</v>
      </c>
      <c r="D483" s="21">
        <v>206065.0</v>
      </c>
      <c r="V483" s="29"/>
      <c r="W483" s="29"/>
      <c r="X483" s="29"/>
    </row>
    <row r="484">
      <c r="A484" s="36">
        <v>44977.0</v>
      </c>
      <c r="B484" s="20" t="s">
        <v>26</v>
      </c>
      <c r="C484" s="20" t="s">
        <v>167</v>
      </c>
      <c r="D484" s="21">
        <v>61351.0</v>
      </c>
      <c r="V484" s="29"/>
      <c r="W484" s="29"/>
      <c r="X484" s="29"/>
    </row>
    <row r="485">
      <c r="A485" s="36">
        <v>44979.0</v>
      </c>
      <c r="B485" s="20" t="s">
        <v>64</v>
      </c>
      <c r="C485" s="20" t="s">
        <v>78</v>
      </c>
      <c r="D485" s="21">
        <v>90000.0</v>
      </c>
      <c r="V485" s="29"/>
      <c r="W485" s="29"/>
      <c r="X485" s="29"/>
    </row>
    <row r="486">
      <c r="A486" s="36">
        <v>44980.0</v>
      </c>
      <c r="B486" s="20" t="s">
        <v>15</v>
      </c>
      <c r="C486" s="20" t="s">
        <v>112</v>
      </c>
      <c r="D486" s="21">
        <v>21000.0</v>
      </c>
      <c r="V486" s="29"/>
      <c r="W486" s="29"/>
      <c r="X486" s="29"/>
    </row>
    <row r="487">
      <c r="A487" s="36">
        <v>44983.0</v>
      </c>
      <c r="B487" s="20" t="s">
        <v>30</v>
      </c>
      <c r="C487" s="20" t="s">
        <v>36</v>
      </c>
      <c r="D487" s="21">
        <v>28530.0</v>
      </c>
      <c r="V487" s="29"/>
      <c r="W487" s="29"/>
      <c r="X487" s="29"/>
    </row>
    <row r="488">
      <c r="A488" s="36">
        <v>44985.0</v>
      </c>
      <c r="B488" s="11" t="s">
        <v>64</v>
      </c>
      <c r="C488" s="17" t="s">
        <v>68</v>
      </c>
      <c r="D488" s="21">
        <v>139978.0</v>
      </c>
      <c r="V488" s="29"/>
      <c r="W488" s="29"/>
      <c r="X488" s="29"/>
    </row>
    <row r="489">
      <c r="A489" s="36">
        <v>44985.0</v>
      </c>
      <c r="B489" s="11" t="s">
        <v>64</v>
      </c>
      <c r="C489" s="17" t="s">
        <v>76</v>
      </c>
      <c r="D489" s="21">
        <v>609587.0</v>
      </c>
      <c r="V489" s="29"/>
      <c r="W489" s="29"/>
      <c r="X489" s="29"/>
    </row>
    <row r="490">
      <c r="A490" s="36">
        <v>44986.0</v>
      </c>
      <c r="B490" s="20" t="s">
        <v>30</v>
      </c>
      <c r="C490" s="20" t="s">
        <v>86</v>
      </c>
      <c r="D490" s="21">
        <v>428212.0</v>
      </c>
      <c r="V490" s="29"/>
      <c r="W490" s="29"/>
      <c r="X490" s="29"/>
    </row>
    <row r="491">
      <c r="A491" s="36">
        <v>44986.0</v>
      </c>
      <c r="B491" s="20" t="s">
        <v>15</v>
      </c>
      <c r="C491" s="20" t="s">
        <v>16</v>
      </c>
      <c r="D491" s="21">
        <v>98438.0</v>
      </c>
      <c r="V491" s="29"/>
      <c r="W491" s="29"/>
      <c r="X491" s="29"/>
    </row>
    <row r="492">
      <c r="A492" s="36">
        <v>44986.0</v>
      </c>
      <c r="B492" s="20" t="s">
        <v>64</v>
      </c>
      <c r="C492" s="20" t="s">
        <v>78</v>
      </c>
      <c r="D492" s="21">
        <v>90000.0</v>
      </c>
      <c r="V492" s="29"/>
      <c r="W492" s="29"/>
      <c r="X492" s="29"/>
    </row>
    <row r="493">
      <c r="A493" s="36">
        <v>44988.0</v>
      </c>
      <c r="B493" s="20" t="s">
        <v>26</v>
      </c>
      <c r="C493" s="20" t="s">
        <v>168</v>
      </c>
      <c r="D493" s="21">
        <v>64300.0</v>
      </c>
      <c r="V493" s="29"/>
      <c r="W493" s="29"/>
      <c r="X493" s="29"/>
    </row>
    <row r="494">
      <c r="A494" s="37">
        <v>44989.0</v>
      </c>
      <c r="B494" s="38" t="s">
        <v>26</v>
      </c>
      <c r="C494" s="20" t="s">
        <v>169</v>
      </c>
      <c r="D494" s="21">
        <v>41300.0</v>
      </c>
      <c r="V494" s="29"/>
      <c r="W494" s="29"/>
      <c r="X494" s="29"/>
    </row>
    <row r="495">
      <c r="A495" s="37">
        <v>44992.0</v>
      </c>
      <c r="B495" s="20" t="s">
        <v>30</v>
      </c>
      <c r="C495" s="20" t="s">
        <v>137</v>
      </c>
      <c r="D495" s="21">
        <v>87050.0</v>
      </c>
      <c r="V495" s="29"/>
      <c r="W495" s="29"/>
      <c r="X495" s="29"/>
    </row>
    <row r="496">
      <c r="A496" s="36">
        <v>44996.0</v>
      </c>
      <c r="B496" s="20" t="s">
        <v>15</v>
      </c>
      <c r="C496" s="20" t="s">
        <v>16</v>
      </c>
      <c r="D496" s="21">
        <v>98410.0</v>
      </c>
      <c r="V496" s="29"/>
      <c r="W496" s="29"/>
      <c r="X496" s="29"/>
    </row>
    <row r="497">
      <c r="A497" s="36">
        <v>44997.0</v>
      </c>
      <c r="B497" s="20" t="s">
        <v>30</v>
      </c>
      <c r="C497" s="20" t="s">
        <v>100</v>
      </c>
      <c r="D497" s="21">
        <v>69640.0</v>
      </c>
      <c r="V497" s="29"/>
      <c r="W497" s="29"/>
      <c r="X497" s="29"/>
    </row>
    <row r="498">
      <c r="A498" s="36">
        <v>45001.0</v>
      </c>
      <c r="B498" s="20" t="s">
        <v>26</v>
      </c>
      <c r="C498" s="20" t="s">
        <v>170</v>
      </c>
      <c r="D498" s="21">
        <f>77626+136947</f>
        <v>214573</v>
      </c>
      <c r="V498" s="29"/>
      <c r="W498" s="29"/>
      <c r="X498" s="29"/>
    </row>
    <row r="499">
      <c r="A499" s="36">
        <v>45004.0</v>
      </c>
      <c r="B499" s="20" t="s">
        <v>26</v>
      </c>
      <c r="C499" s="20" t="s">
        <v>147</v>
      </c>
      <c r="D499" s="21">
        <v>56800.0</v>
      </c>
      <c r="V499" s="29"/>
      <c r="W499" s="29"/>
      <c r="X499" s="29"/>
    </row>
    <row r="500">
      <c r="A500" s="36">
        <v>45011.0</v>
      </c>
      <c r="B500" s="20" t="s">
        <v>15</v>
      </c>
      <c r="C500" s="20" t="s">
        <v>16</v>
      </c>
      <c r="D500" s="21">
        <v>115068.0</v>
      </c>
      <c r="V500" s="29"/>
      <c r="W500" s="29"/>
      <c r="X500" s="29"/>
    </row>
    <row r="501">
      <c r="A501" s="36">
        <v>45016.0</v>
      </c>
      <c r="B501" s="20" t="s">
        <v>30</v>
      </c>
      <c r="C501" s="20" t="s">
        <v>97</v>
      </c>
      <c r="D501" s="21">
        <v>31300.0</v>
      </c>
      <c r="V501" s="29"/>
      <c r="W501" s="29"/>
      <c r="X501" s="29"/>
    </row>
    <row r="502">
      <c r="A502" s="36">
        <v>45016.0</v>
      </c>
      <c r="B502" s="11" t="s">
        <v>64</v>
      </c>
      <c r="C502" s="17" t="s">
        <v>68</v>
      </c>
      <c r="D502" s="21">
        <v>139978.0</v>
      </c>
      <c r="V502" s="29"/>
      <c r="W502" s="29"/>
      <c r="X502" s="29"/>
    </row>
    <row r="503">
      <c r="A503" s="36">
        <v>45016.0</v>
      </c>
      <c r="B503" s="11" t="s">
        <v>64</v>
      </c>
      <c r="C503" s="17" t="s">
        <v>76</v>
      </c>
      <c r="D503" s="21">
        <v>294165.0</v>
      </c>
      <c r="V503" s="29"/>
      <c r="W503" s="29"/>
      <c r="X503" s="29"/>
    </row>
    <row r="504">
      <c r="A504" s="37">
        <v>45018.0</v>
      </c>
      <c r="B504" s="20" t="s">
        <v>30</v>
      </c>
      <c r="C504" s="20" t="s">
        <v>137</v>
      </c>
      <c r="D504" s="21">
        <v>115550.0</v>
      </c>
      <c r="V504" s="29"/>
      <c r="W504" s="29"/>
      <c r="X504" s="29"/>
    </row>
    <row r="505">
      <c r="A505" s="37">
        <v>45018.0</v>
      </c>
      <c r="B505" s="20" t="s">
        <v>30</v>
      </c>
      <c r="C505" s="20" t="s">
        <v>36</v>
      </c>
      <c r="D505" s="21">
        <v>269000.0</v>
      </c>
      <c r="V505" s="29"/>
      <c r="W505" s="29"/>
      <c r="X505" s="29"/>
    </row>
    <row r="506">
      <c r="A506" s="37">
        <v>45019.0</v>
      </c>
      <c r="B506" s="20" t="s">
        <v>15</v>
      </c>
      <c r="C506" s="20" t="s">
        <v>16</v>
      </c>
      <c r="D506" s="21">
        <v>117266.0</v>
      </c>
      <c r="V506" s="29"/>
      <c r="W506" s="29"/>
      <c r="X506" s="29"/>
    </row>
    <row r="507">
      <c r="A507" s="37">
        <v>45019.0</v>
      </c>
      <c r="B507" s="20" t="s">
        <v>30</v>
      </c>
      <c r="C507" s="20" t="s">
        <v>108</v>
      </c>
      <c r="D507" s="21">
        <v>30660.0</v>
      </c>
      <c r="V507" s="29"/>
      <c r="W507" s="29"/>
      <c r="X507" s="29"/>
    </row>
    <row r="508">
      <c r="A508" s="37">
        <v>45021.0</v>
      </c>
      <c r="B508" s="20" t="s">
        <v>30</v>
      </c>
      <c r="C508" s="20" t="s">
        <v>97</v>
      </c>
      <c r="D508" s="21">
        <v>103250.0</v>
      </c>
      <c r="V508" s="29"/>
      <c r="W508" s="29"/>
      <c r="X508" s="29"/>
    </row>
    <row r="509">
      <c r="A509" s="37">
        <v>45024.0</v>
      </c>
      <c r="B509" s="20" t="s">
        <v>30</v>
      </c>
      <c r="C509" s="20" t="s">
        <v>86</v>
      </c>
      <c r="D509" s="21">
        <v>36270.0</v>
      </c>
      <c r="V509" s="29"/>
      <c r="W509" s="29"/>
      <c r="X509" s="29"/>
    </row>
    <row r="510">
      <c r="A510" s="37">
        <v>45031.0</v>
      </c>
      <c r="B510" s="20" t="s">
        <v>26</v>
      </c>
      <c r="C510" s="39" t="s">
        <v>171</v>
      </c>
      <c r="D510" s="21">
        <v>340000.0</v>
      </c>
      <c r="V510" s="29"/>
      <c r="W510" s="29"/>
      <c r="X510" s="29"/>
    </row>
    <row r="511">
      <c r="A511" s="37">
        <v>45032.0</v>
      </c>
      <c r="B511" s="20" t="s">
        <v>30</v>
      </c>
      <c r="C511" s="20" t="s">
        <v>172</v>
      </c>
      <c r="D511" s="21">
        <v>39800.0</v>
      </c>
      <c r="V511" s="29"/>
      <c r="W511" s="29"/>
      <c r="X511" s="29"/>
    </row>
    <row r="512">
      <c r="A512" s="37">
        <v>45032.0</v>
      </c>
      <c r="B512" s="20" t="s">
        <v>26</v>
      </c>
      <c r="C512" s="20" t="s">
        <v>173</v>
      </c>
      <c r="D512" s="21">
        <v>129800.0</v>
      </c>
      <c r="V512" s="29"/>
      <c r="W512" s="29"/>
      <c r="X512" s="29"/>
    </row>
    <row r="513">
      <c r="A513" s="37">
        <v>45033.0</v>
      </c>
      <c r="B513" s="20" t="s">
        <v>30</v>
      </c>
      <c r="C513" s="20" t="s">
        <v>146</v>
      </c>
      <c r="D513" s="21">
        <v>333200.0</v>
      </c>
      <c r="V513" s="29"/>
      <c r="W513" s="29"/>
      <c r="X513" s="29"/>
    </row>
    <row r="514">
      <c r="A514" s="37">
        <v>45033.0</v>
      </c>
      <c r="B514" s="20" t="s">
        <v>15</v>
      </c>
      <c r="C514" s="20" t="s">
        <v>16</v>
      </c>
      <c r="D514" s="21">
        <v>90320.0</v>
      </c>
      <c r="V514" s="29"/>
      <c r="W514" s="29"/>
      <c r="X514" s="29"/>
    </row>
    <row r="515">
      <c r="A515" s="37">
        <v>45035.0</v>
      </c>
      <c r="B515" s="20" t="s">
        <v>30</v>
      </c>
      <c r="C515" s="20" t="s">
        <v>108</v>
      </c>
      <c r="D515" s="21">
        <v>41400.0</v>
      </c>
      <c r="V515" s="29"/>
      <c r="W515" s="29"/>
      <c r="X515" s="29"/>
    </row>
    <row r="516">
      <c r="A516" s="37">
        <v>45035.0</v>
      </c>
      <c r="B516" s="20" t="s">
        <v>30</v>
      </c>
      <c r="C516" s="20" t="s">
        <v>147</v>
      </c>
      <c r="D516" s="21">
        <v>46194.0</v>
      </c>
      <c r="V516" s="29"/>
      <c r="W516" s="29"/>
      <c r="X516" s="29"/>
    </row>
    <row r="517">
      <c r="A517" s="37">
        <v>45036.0</v>
      </c>
      <c r="B517" s="20" t="s">
        <v>26</v>
      </c>
      <c r="C517" s="20" t="s">
        <v>174</v>
      </c>
      <c r="D517" s="21">
        <v>163600.0</v>
      </c>
      <c r="V517" s="29"/>
      <c r="W517" s="29"/>
      <c r="X517" s="29"/>
    </row>
    <row r="518">
      <c r="A518" s="37">
        <v>45038.0</v>
      </c>
      <c r="B518" s="20" t="s">
        <v>30</v>
      </c>
      <c r="C518" s="20" t="s">
        <v>36</v>
      </c>
      <c r="D518" s="21">
        <v>64290.0</v>
      </c>
      <c r="V518" s="29"/>
      <c r="W518" s="29"/>
      <c r="X518" s="29"/>
    </row>
    <row r="519">
      <c r="A519" s="37">
        <v>45038.0</v>
      </c>
      <c r="B519" s="20" t="s">
        <v>30</v>
      </c>
      <c r="C519" s="20" t="s">
        <v>74</v>
      </c>
      <c r="D519" s="21">
        <v>33984.0</v>
      </c>
      <c r="V519" s="29"/>
      <c r="W519" s="29"/>
      <c r="X519" s="29"/>
    </row>
    <row r="520">
      <c r="A520" s="37">
        <v>45041.0</v>
      </c>
      <c r="B520" s="20" t="s">
        <v>15</v>
      </c>
      <c r="C520" s="20" t="s">
        <v>16</v>
      </c>
      <c r="D520" s="21">
        <v>99086.0</v>
      </c>
      <c r="V520" s="29"/>
      <c r="W520" s="29"/>
      <c r="X520" s="29"/>
    </row>
    <row r="521">
      <c r="A521" s="37">
        <v>45042.0</v>
      </c>
      <c r="B521" s="20" t="s">
        <v>26</v>
      </c>
      <c r="C521" s="20" t="s">
        <v>175</v>
      </c>
      <c r="D521" s="21">
        <v>125000.0</v>
      </c>
      <c r="V521" s="29"/>
      <c r="W521" s="29"/>
      <c r="X521" s="29"/>
    </row>
    <row r="522">
      <c r="A522" s="37">
        <v>45046.0</v>
      </c>
      <c r="B522" s="11" t="s">
        <v>64</v>
      </c>
      <c r="C522" s="17" t="s">
        <v>68</v>
      </c>
      <c r="D522" s="21">
        <v>139978.0</v>
      </c>
      <c r="V522" s="29"/>
      <c r="W522" s="29"/>
      <c r="X522" s="29"/>
    </row>
    <row r="523">
      <c r="A523" s="37">
        <v>45046.0</v>
      </c>
      <c r="B523" s="11" t="s">
        <v>64</v>
      </c>
      <c r="C523" s="17" t="s">
        <v>76</v>
      </c>
      <c r="D523" s="21">
        <v>294165.0</v>
      </c>
      <c r="V523" s="29"/>
      <c r="W523" s="29"/>
      <c r="X523" s="29"/>
    </row>
    <row r="524">
      <c r="A524" s="37">
        <v>45046.0</v>
      </c>
      <c r="B524" s="11" t="s">
        <v>64</v>
      </c>
      <c r="C524" s="34" t="s">
        <v>78</v>
      </c>
      <c r="D524" s="21">
        <v>100000.0</v>
      </c>
      <c r="V524" s="29"/>
      <c r="W524" s="29"/>
      <c r="X524" s="29"/>
    </row>
    <row r="525">
      <c r="A525" s="37">
        <v>45046.0</v>
      </c>
      <c r="B525" s="20" t="s">
        <v>30</v>
      </c>
      <c r="C525" s="34" t="s">
        <v>50</v>
      </c>
      <c r="D525" s="21">
        <v>125000.0</v>
      </c>
      <c r="V525" s="29"/>
      <c r="W525" s="29"/>
      <c r="X525" s="29"/>
    </row>
    <row r="526">
      <c r="V526" s="29"/>
      <c r="W526" s="29"/>
      <c r="X526" s="29"/>
    </row>
    <row r="527">
      <c r="V527" s="29"/>
      <c r="W527" s="29"/>
      <c r="X527" s="29"/>
    </row>
    <row r="528">
      <c r="V528" s="29"/>
      <c r="W528" s="29"/>
      <c r="X528" s="29"/>
    </row>
    <row r="529">
      <c r="V529" s="29"/>
      <c r="W529" s="29"/>
      <c r="X529" s="29"/>
    </row>
    <row r="530">
      <c r="V530" s="29"/>
      <c r="W530" s="29"/>
      <c r="X530" s="29"/>
    </row>
    <row r="531">
      <c r="V531" s="29"/>
      <c r="W531" s="29"/>
      <c r="X531" s="29"/>
    </row>
    <row r="532">
      <c r="V532" s="29"/>
      <c r="W532" s="29"/>
      <c r="X532" s="29"/>
    </row>
    <row r="533">
      <c r="V533" s="29"/>
      <c r="W533" s="29"/>
      <c r="X533" s="29"/>
    </row>
    <row r="534">
      <c r="V534" s="29"/>
      <c r="W534" s="29"/>
      <c r="X534" s="29"/>
    </row>
    <row r="535">
      <c r="V535" s="29"/>
      <c r="W535" s="29"/>
      <c r="X535" s="29"/>
    </row>
    <row r="536">
      <c r="V536" s="29"/>
      <c r="W536" s="29"/>
      <c r="X536" s="29"/>
    </row>
    <row r="537">
      <c r="V537" s="29"/>
      <c r="W537" s="29"/>
      <c r="X537" s="29"/>
    </row>
    <row r="538">
      <c r="V538" s="29"/>
      <c r="W538" s="29"/>
      <c r="X538" s="29"/>
    </row>
    <row r="539">
      <c r="V539" s="29"/>
      <c r="W539" s="29"/>
      <c r="X539" s="29"/>
    </row>
    <row r="540">
      <c r="V540" s="29"/>
      <c r="W540" s="29"/>
      <c r="X540" s="29"/>
    </row>
    <row r="541">
      <c r="V541" s="29"/>
      <c r="W541" s="29"/>
      <c r="X541" s="29"/>
    </row>
    <row r="542">
      <c r="V542" s="29"/>
      <c r="W542" s="29"/>
      <c r="X542" s="29"/>
    </row>
    <row r="543">
      <c r="V543" s="29"/>
      <c r="W543" s="29"/>
      <c r="X543" s="29"/>
    </row>
    <row r="544">
      <c r="V544" s="29"/>
      <c r="W544" s="29"/>
      <c r="X544" s="29"/>
    </row>
    <row r="545">
      <c r="V545" s="29"/>
      <c r="W545" s="29"/>
      <c r="X545" s="29"/>
    </row>
    <row r="546">
      <c r="V546" s="29"/>
      <c r="W546" s="29"/>
      <c r="X546" s="29"/>
    </row>
    <row r="547">
      <c r="V547" s="29"/>
      <c r="W547" s="29"/>
      <c r="X547" s="29"/>
    </row>
    <row r="548">
      <c r="V548" s="29"/>
      <c r="W548" s="29"/>
      <c r="X548" s="29"/>
    </row>
    <row r="549">
      <c r="V549" s="29"/>
      <c r="W549" s="29"/>
      <c r="X549" s="29"/>
    </row>
    <row r="550">
      <c r="V550" s="29"/>
      <c r="W550" s="29"/>
      <c r="X550" s="29"/>
    </row>
    <row r="551">
      <c r="V551" s="29"/>
      <c r="W551" s="29"/>
      <c r="X551" s="29"/>
    </row>
    <row r="552">
      <c r="V552" s="29"/>
      <c r="W552" s="29"/>
      <c r="X552" s="29"/>
    </row>
    <row r="553">
      <c r="V553" s="29"/>
      <c r="W553" s="29"/>
      <c r="X553" s="29"/>
    </row>
    <row r="554">
      <c r="V554" s="29"/>
      <c r="W554" s="29"/>
      <c r="X554" s="29"/>
    </row>
    <row r="555">
      <c r="V555" s="29"/>
      <c r="W555" s="29"/>
      <c r="X555" s="29"/>
    </row>
    <row r="556">
      <c r="V556" s="29"/>
      <c r="W556" s="29"/>
      <c r="X556" s="29"/>
    </row>
    <row r="557">
      <c r="V557" s="29"/>
      <c r="W557" s="29"/>
      <c r="X557" s="29"/>
    </row>
    <row r="558">
      <c r="V558" s="29"/>
      <c r="W558" s="29"/>
      <c r="X558" s="29"/>
    </row>
    <row r="559">
      <c r="V559" s="29"/>
      <c r="W559" s="29"/>
      <c r="X559" s="29"/>
    </row>
    <row r="560">
      <c r="V560" s="29"/>
      <c r="W560" s="29"/>
      <c r="X560" s="29"/>
    </row>
    <row r="561">
      <c r="V561" s="29"/>
      <c r="W561" s="29"/>
      <c r="X561" s="29"/>
    </row>
    <row r="562">
      <c r="V562" s="29"/>
      <c r="W562" s="29"/>
      <c r="X562" s="29"/>
    </row>
    <row r="563">
      <c r="V563" s="29"/>
      <c r="W563" s="29"/>
      <c r="X563" s="29"/>
    </row>
    <row r="564">
      <c r="V564" s="29"/>
      <c r="W564" s="29"/>
      <c r="X564" s="29"/>
    </row>
    <row r="565">
      <c r="V565" s="29"/>
      <c r="W565" s="29"/>
      <c r="X565" s="29"/>
    </row>
    <row r="566">
      <c r="V566" s="29"/>
      <c r="W566" s="29"/>
      <c r="X566" s="29"/>
    </row>
    <row r="567">
      <c r="V567" s="29"/>
      <c r="W567" s="29"/>
      <c r="X567" s="29"/>
    </row>
    <row r="568">
      <c r="V568" s="29"/>
      <c r="W568" s="29"/>
      <c r="X568" s="29"/>
    </row>
    <row r="569">
      <c r="V569" s="29"/>
      <c r="W569" s="29"/>
      <c r="X569" s="29"/>
    </row>
    <row r="570">
      <c r="V570" s="29"/>
      <c r="W570" s="29"/>
      <c r="X570" s="29"/>
    </row>
    <row r="571">
      <c r="V571" s="29"/>
      <c r="W571" s="29"/>
      <c r="X571" s="29"/>
    </row>
    <row r="572">
      <c r="V572" s="29"/>
      <c r="W572" s="29"/>
      <c r="X572" s="29"/>
    </row>
    <row r="573">
      <c r="V573" s="29"/>
      <c r="W573" s="29"/>
      <c r="X573" s="29"/>
    </row>
    <row r="574">
      <c r="V574" s="29"/>
      <c r="W574" s="29"/>
      <c r="X574" s="29"/>
    </row>
    <row r="575">
      <c r="V575" s="29"/>
      <c r="W575" s="29"/>
      <c r="X575" s="29"/>
    </row>
    <row r="576">
      <c r="V576" s="29"/>
      <c r="W576" s="29"/>
      <c r="X576" s="29"/>
    </row>
    <row r="577">
      <c r="V577" s="29"/>
      <c r="W577" s="29"/>
      <c r="X577" s="29"/>
    </row>
    <row r="578">
      <c r="V578" s="29"/>
      <c r="W578" s="29"/>
      <c r="X578" s="29"/>
    </row>
    <row r="579">
      <c r="V579" s="29"/>
      <c r="W579" s="29"/>
      <c r="X579" s="29"/>
    </row>
    <row r="580">
      <c r="V580" s="29"/>
      <c r="W580" s="29"/>
      <c r="X580" s="29"/>
    </row>
    <row r="581">
      <c r="V581" s="29"/>
      <c r="W581" s="29"/>
      <c r="X581" s="29"/>
    </row>
    <row r="582">
      <c r="V582" s="29"/>
      <c r="W582" s="29"/>
      <c r="X582" s="29"/>
    </row>
    <row r="583">
      <c r="V583" s="29"/>
      <c r="W583" s="29"/>
      <c r="X583" s="29"/>
    </row>
    <row r="584">
      <c r="V584" s="29"/>
      <c r="W584" s="29"/>
      <c r="X584" s="29"/>
    </row>
    <row r="585">
      <c r="V585" s="29"/>
      <c r="W585" s="29"/>
      <c r="X585" s="29"/>
    </row>
    <row r="586">
      <c r="V586" s="29"/>
      <c r="W586" s="29"/>
      <c r="X586" s="29"/>
    </row>
    <row r="587">
      <c r="V587" s="29"/>
      <c r="W587" s="29"/>
      <c r="X587" s="29"/>
    </row>
    <row r="588">
      <c r="V588" s="29"/>
      <c r="W588" s="29"/>
      <c r="X588" s="29"/>
    </row>
    <row r="589">
      <c r="V589" s="29"/>
      <c r="W589" s="29"/>
      <c r="X589" s="29"/>
    </row>
    <row r="590">
      <c r="V590" s="29"/>
      <c r="W590" s="29"/>
      <c r="X590" s="29"/>
    </row>
    <row r="591">
      <c r="V591" s="29"/>
      <c r="W591" s="29"/>
      <c r="X591" s="29"/>
    </row>
    <row r="592">
      <c r="V592" s="29"/>
      <c r="W592" s="29"/>
      <c r="X592" s="29"/>
    </row>
    <row r="593">
      <c r="V593" s="29"/>
      <c r="W593" s="29"/>
      <c r="X593" s="29"/>
    </row>
    <row r="594">
      <c r="V594" s="29"/>
      <c r="W594" s="29"/>
      <c r="X594" s="29"/>
    </row>
    <row r="595">
      <c r="V595" s="29"/>
      <c r="W595" s="29"/>
      <c r="X595" s="29"/>
    </row>
    <row r="596">
      <c r="V596" s="29"/>
      <c r="W596" s="29"/>
      <c r="X596" s="29"/>
    </row>
    <row r="597">
      <c r="V597" s="29"/>
      <c r="W597" s="29"/>
      <c r="X597" s="29"/>
    </row>
    <row r="598">
      <c r="V598" s="29"/>
      <c r="W598" s="29"/>
      <c r="X598" s="29"/>
    </row>
    <row r="599">
      <c r="V599" s="29"/>
      <c r="W599" s="29"/>
      <c r="X599" s="29"/>
    </row>
    <row r="600">
      <c r="V600" s="29"/>
      <c r="W600" s="29"/>
      <c r="X600" s="29"/>
    </row>
    <row r="601">
      <c r="V601" s="29"/>
      <c r="W601" s="29"/>
      <c r="X601" s="29"/>
    </row>
    <row r="602">
      <c r="V602" s="29"/>
      <c r="W602" s="29"/>
      <c r="X602" s="29"/>
    </row>
    <row r="603">
      <c r="V603" s="29"/>
      <c r="W603" s="29"/>
      <c r="X603" s="29"/>
    </row>
    <row r="604">
      <c r="V604" s="29"/>
      <c r="W604" s="29"/>
      <c r="X604" s="29"/>
    </row>
    <row r="605">
      <c r="V605" s="29"/>
      <c r="W605" s="29"/>
      <c r="X605" s="29"/>
    </row>
    <row r="606">
      <c r="V606" s="29"/>
      <c r="W606" s="29"/>
      <c r="X606" s="29"/>
    </row>
    <row r="607">
      <c r="V607" s="29"/>
      <c r="W607" s="29"/>
      <c r="X607" s="29"/>
    </row>
    <row r="608">
      <c r="V608" s="29"/>
      <c r="W608" s="29"/>
      <c r="X608" s="29"/>
    </row>
    <row r="609">
      <c r="V609" s="29"/>
      <c r="W609" s="29"/>
      <c r="X609" s="29"/>
    </row>
    <row r="610">
      <c r="V610" s="29"/>
      <c r="W610" s="29"/>
      <c r="X610" s="29"/>
    </row>
    <row r="611">
      <c r="V611" s="29"/>
      <c r="W611" s="29"/>
      <c r="X611" s="29"/>
    </row>
    <row r="612">
      <c r="V612" s="29"/>
      <c r="W612" s="29"/>
      <c r="X612" s="29"/>
    </row>
    <row r="613">
      <c r="V613" s="29"/>
      <c r="W613" s="29"/>
      <c r="X613" s="29"/>
    </row>
    <row r="614">
      <c r="V614" s="29"/>
      <c r="W614" s="29"/>
      <c r="X614" s="29"/>
    </row>
    <row r="615">
      <c r="V615" s="29"/>
      <c r="W615" s="29"/>
      <c r="X615" s="29"/>
    </row>
    <row r="616">
      <c r="V616" s="29"/>
      <c r="W616" s="29"/>
      <c r="X616" s="29"/>
    </row>
    <row r="617">
      <c r="V617" s="29"/>
      <c r="W617" s="29"/>
      <c r="X617" s="29"/>
    </row>
    <row r="618">
      <c r="V618" s="29"/>
      <c r="W618" s="29"/>
      <c r="X618" s="29"/>
    </row>
    <row r="619">
      <c r="V619" s="29"/>
      <c r="W619" s="29"/>
      <c r="X619" s="29"/>
    </row>
    <row r="620">
      <c r="V620" s="29"/>
      <c r="W620" s="29"/>
      <c r="X620" s="29"/>
    </row>
    <row r="621">
      <c r="V621" s="29"/>
      <c r="W621" s="29"/>
      <c r="X621" s="29"/>
    </row>
    <row r="622">
      <c r="V622" s="29"/>
      <c r="W622" s="29"/>
      <c r="X622" s="29"/>
    </row>
    <row r="623">
      <c r="V623" s="29"/>
      <c r="W623" s="29"/>
      <c r="X623" s="29"/>
    </row>
    <row r="624">
      <c r="V624" s="29"/>
      <c r="W624" s="29"/>
      <c r="X624" s="29"/>
    </row>
    <row r="625">
      <c r="V625" s="29"/>
      <c r="W625" s="29"/>
      <c r="X625" s="29"/>
    </row>
    <row r="626">
      <c r="V626" s="29"/>
      <c r="W626" s="29"/>
      <c r="X626" s="29"/>
    </row>
    <row r="627">
      <c r="V627" s="29"/>
      <c r="W627" s="29"/>
      <c r="X627" s="29"/>
    </row>
    <row r="628">
      <c r="V628" s="29"/>
      <c r="W628" s="29"/>
      <c r="X628" s="29"/>
    </row>
    <row r="629">
      <c r="V629" s="29"/>
      <c r="W629" s="29"/>
      <c r="X629" s="29"/>
    </row>
    <row r="630">
      <c r="V630" s="29"/>
      <c r="W630" s="29"/>
      <c r="X630" s="29"/>
    </row>
    <row r="631">
      <c r="V631" s="29"/>
      <c r="W631" s="29"/>
      <c r="X631" s="29"/>
    </row>
    <row r="632">
      <c r="V632" s="29"/>
      <c r="W632" s="29"/>
      <c r="X632" s="29"/>
    </row>
    <row r="633">
      <c r="V633" s="29"/>
      <c r="W633" s="29"/>
      <c r="X633" s="29"/>
    </row>
    <row r="634">
      <c r="V634" s="29"/>
      <c r="W634" s="29"/>
      <c r="X634" s="29"/>
    </row>
    <row r="635">
      <c r="V635" s="29"/>
      <c r="W635" s="29"/>
      <c r="X635" s="29"/>
    </row>
    <row r="636">
      <c r="V636" s="29"/>
      <c r="W636" s="29"/>
      <c r="X636" s="29"/>
    </row>
    <row r="637">
      <c r="V637" s="29"/>
      <c r="W637" s="29"/>
      <c r="X637" s="29"/>
    </row>
    <row r="638">
      <c r="V638" s="29"/>
      <c r="W638" s="29"/>
      <c r="X638" s="29"/>
    </row>
    <row r="639">
      <c r="V639" s="29"/>
      <c r="W639" s="29"/>
      <c r="X639" s="29"/>
    </row>
    <row r="640">
      <c r="V640" s="29"/>
      <c r="W640" s="29"/>
      <c r="X640" s="29"/>
    </row>
    <row r="641">
      <c r="V641" s="29"/>
      <c r="W641" s="29"/>
      <c r="X641" s="29"/>
    </row>
    <row r="642">
      <c r="V642" s="29"/>
      <c r="W642" s="29"/>
      <c r="X642" s="29"/>
    </row>
    <row r="643">
      <c r="V643" s="29"/>
      <c r="W643" s="29"/>
      <c r="X643" s="29"/>
    </row>
    <row r="644">
      <c r="V644" s="29"/>
      <c r="W644" s="29"/>
      <c r="X644" s="29"/>
    </row>
    <row r="645">
      <c r="V645" s="29"/>
      <c r="W645" s="29"/>
      <c r="X645" s="29"/>
    </row>
    <row r="646">
      <c r="V646" s="29"/>
      <c r="W646" s="29"/>
      <c r="X646" s="29"/>
    </row>
    <row r="647">
      <c r="V647" s="29"/>
      <c r="W647" s="29"/>
      <c r="X647" s="29"/>
    </row>
    <row r="648">
      <c r="V648" s="29"/>
      <c r="W648" s="29"/>
      <c r="X648" s="29"/>
    </row>
    <row r="649">
      <c r="V649" s="29"/>
      <c r="W649" s="29"/>
      <c r="X649" s="29"/>
    </row>
    <row r="650">
      <c r="V650" s="29"/>
      <c r="W650" s="29"/>
      <c r="X650" s="29"/>
    </row>
    <row r="651">
      <c r="V651" s="29"/>
      <c r="W651" s="29"/>
      <c r="X651" s="29"/>
    </row>
    <row r="652">
      <c r="V652" s="29"/>
      <c r="W652" s="29"/>
      <c r="X652" s="29"/>
    </row>
    <row r="653">
      <c r="V653" s="29"/>
      <c r="W653" s="29"/>
      <c r="X653" s="29"/>
    </row>
    <row r="654">
      <c r="V654" s="29"/>
      <c r="W654" s="29"/>
      <c r="X654" s="29"/>
    </row>
    <row r="655">
      <c r="V655" s="29"/>
      <c r="W655" s="29"/>
      <c r="X655" s="29"/>
    </row>
    <row r="656">
      <c r="V656" s="29"/>
      <c r="W656" s="29"/>
      <c r="X656" s="29"/>
    </row>
    <row r="657">
      <c r="V657" s="29"/>
      <c r="W657" s="29"/>
      <c r="X657" s="29"/>
    </row>
    <row r="658">
      <c r="V658" s="29"/>
      <c r="W658" s="29"/>
      <c r="X658" s="29"/>
    </row>
    <row r="659">
      <c r="V659" s="29"/>
      <c r="W659" s="29"/>
      <c r="X659" s="29"/>
    </row>
    <row r="660">
      <c r="V660" s="29"/>
      <c r="W660" s="29"/>
      <c r="X660" s="29"/>
    </row>
    <row r="661">
      <c r="V661" s="29"/>
      <c r="W661" s="29"/>
      <c r="X661" s="29"/>
    </row>
    <row r="662">
      <c r="V662" s="29"/>
      <c r="W662" s="29"/>
      <c r="X662" s="29"/>
    </row>
    <row r="663">
      <c r="V663" s="29"/>
      <c r="W663" s="29"/>
      <c r="X663" s="29"/>
    </row>
    <row r="664">
      <c r="V664" s="29"/>
      <c r="W664" s="29"/>
      <c r="X664" s="29"/>
    </row>
    <row r="665">
      <c r="V665" s="29"/>
      <c r="W665" s="29"/>
      <c r="X665" s="29"/>
    </row>
    <row r="666">
      <c r="V666" s="29"/>
      <c r="W666" s="29"/>
      <c r="X666" s="29"/>
    </row>
    <row r="667">
      <c r="V667" s="29"/>
      <c r="W667" s="29"/>
      <c r="X667" s="29"/>
    </row>
    <row r="668">
      <c r="V668" s="29"/>
      <c r="W668" s="29"/>
      <c r="X668" s="29"/>
    </row>
    <row r="669">
      <c r="V669" s="29"/>
      <c r="W669" s="29"/>
      <c r="X669" s="29"/>
    </row>
    <row r="670">
      <c r="V670" s="29"/>
      <c r="W670" s="29"/>
      <c r="X670" s="29"/>
    </row>
    <row r="671">
      <c r="V671" s="29"/>
      <c r="W671" s="29"/>
      <c r="X671" s="29"/>
    </row>
    <row r="672">
      <c r="V672" s="29"/>
      <c r="W672" s="29"/>
      <c r="X672" s="29"/>
    </row>
    <row r="673">
      <c r="V673" s="29"/>
      <c r="W673" s="29"/>
      <c r="X673" s="29"/>
    </row>
    <row r="674">
      <c r="V674" s="29"/>
      <c r="W674" s="29"/>
      <c r="X674" s="29"/>
    </row>
    <row r="675">
      <c r="V675" s="29"/>
      <c r="W675" s="29"/>
      <c r="X675" s="29"/>
    </row>
    <row r="676">
      <c r="V676" s="29"/>
      <c r="W676" s="29"/>
      <c r="X676" s="29"/>
    </row>
    <row r="677">
      <c r="V677" s="29"/>
      <c r="W677" s="29"/>
      <c r="X677" s="29"/>
    </row>
    <row r="678">
      <c r="V678" s="29"/>
      <c r="W678" s="29"/>
      <c r="X678" s="29"/>
    </row>
    <row r="679">
      <c r="V679" s="29"/>
      <c r="W679" s="29"/>
      <c r="X679" s="29"/>
    </row>
    <row r="680">
      <c r="V680" s="29"/>
      <c r="W680" s="29"/>
      <c r="X680" s="29"/>
    </row>
    <row r="681">
      <c r="V681" s="29"/>
      <c r="W681" s="29"/>
      <c r="X681" s="29"/>
    </row>
    <row r="682">
      <c r="V682" s="29"/>
      <c r="W682" s="29"/>
      <c r="X682" s="29"/>
    </row>
    <row r="683">
      <c r="V683" s="29"/>
      <c r="W683" s="29"/>
      <c r="X683" s="29"/>
    </row>
    <row r="684">
      <c r="V684" s="29"/>
      <c r="W684" s="29"/>
      <c r="X684" s="29"/>
    </row>
    <row r="685">
      <c r="V685" s="29"/>
      <c r="W685" s="29"/>
      <c r="X685" s="29"/>
    </row>
    <row r="686">
      <c r="V686" s="29"/>
      <c r="W686" s="29"/>
      <c r="X686" s="29"/>
    </row>
    <row r="687">
      <c r="V687" s="29"/>
      <c r="W687" s="29"/>
      <c r="X687" s="29"/>
    </row>
    <row r="688">
      <c r="V688" s="29"/>
      <c r="W688" s="29"/>
      <c r="X688" s="29"/>
    </row>
    <row r="689">
      <c r="V689" s="29"/>
      <c r="W689" s="29"/>
      <c r="X689" s="29"/>
    </row>
    <row r="690">
      <c r="V690" s="29"/>
      <c r="W690" s="29"/>
      <c r="X690" s="29"/>
    </row>
    <row r="691">
      <c r="V691" s="29"/>
      <c r="W691" s="29"/>
      <c r="X691" s="29"/>
    </row>
    <row r="692">
      <c r="V692" s="29"/>
      <c r="W692" s="29"/>
      <c r="X692" s="29"/>
    </row>
    <row r="693">
      <c r="V693" s="29"/>
      <c r="W693" s="29"/>
      <c r="X693" s="29"/>
    </row>
    <row r="694">
      <c r="V694" s="29"/>
      <c r="W694" s="29"/>
      <c r="X694" s="29"/>
    </row>
    <row r="695">
      <c r="V695" s="29"/>
      <c r="W695" s="29"/>
      <c r="X695" s="29"/>
    </row>
    <row r="696">
      <c r="V696" s="29"/>
      <c r="W696" s="29"/>
      <c r="X696" s="29"/>
    </row>
    <row r="697">
      <c r="V697" s="29"/>
      <c r="W697" s="29"/>
      <c r="X697" s="29"/>
    </row>
    <row r="698">
      <c r="V698" s="29"/>
      <c r="W698" s="29"/>
      <c r="X698" s="29"/>
    </row>
    <row r="699">
      <c r="V699" s="29"/>
      <c r="W699" s="29"/>
      <c r="X699" s="29"/>
    </row>
    <row r="700">
      <c r="V700" s="29"/>
      <c r="W700" s="29"/>
      <c r="X700" s="29"/>
    </row>
    <row r="701">
      <c r="V701" s="29"/>
      <c r="W701" s="29"/>
      <c r="X701" s="29"/>
    </row>
    <row r="702">
      <c r="V702" s="29"/>
      <c r="W702" s="29"/>
      <c r="X702" s="29"/>
    </row>
    <row r="703">
      <c r="V703" s="29"/>
      <c r="W703" s="29"/>
      <c r="X703" s="29"/>
    </row>
    <row r="704">
      <c r="V704" s="29"/>
      <c r="W704" s="29"/>
      <c r="X704" s="29"/>
    </row>
    <row r="705">
      <c r="V705" s="29"/>
      <c r="W705" s="29"/>
      <c r="X705" s="29"/>
    </row>
    <row r="706">
      <c r="V706" s="29"/>
      <c r="W706" s="29"/>
      <c r="X706" s="29"/>
    </row>
    <row r="707">
      <c r="V707" s="29"/>
      <c r="W707" s="29"/>
      <c r="X707" s="29"/>
    </row>
    <row r="708">
      <c r="V708" s="29"/>
      <c r="W708" s="29"/>
      <c r="X708" s="29"/>
    </row>
    <row r="709">
      <c r="V709" s="29"/>
      <c r="W709" s="29"/>
      <c r="X709" s="29"/>
    </row>
    <row r="710">
      <c r="V710" s="29"/>
      <c r="W710" s="29"/>
      <c r="X710" s="29"/>
    </row>
    <row r="711">
      <c r="V711" s="29"/>
      <c r="W711" s="29"/>
      <c r="X711" s="29"/>
    </row>
    <row r="712">
      <c r="V712" s="29"/>
      <c r="W712" s="29"/>
      <c r="X712" s="29"/>
    </row>
    <row r="713">
      <c r="V713" s="29"/>
      <c r="W713" s="29"/>
      <c r="X713" s="29"/>
    </row>
    <row r="714">
      <c r="V714" s="29"/>
      <c r="W714" s="29"/>
      <c r="X714" s="29"/>
    </row>
    <row r="715">
      <c r="V715" s="29"/>
      <c r="W715" s="29"/>
      <c r="X715" s="29"/>
    </row>
    <row r="716">
      <c r="V716" s="29"/>
      <c r="W716" s="29"/>
      <c r="X716" s="29"/>
    </row>
    <row r="717">
      <c r="V717" s="29"/>
      <c r="W717" s="29"/>
      <c r="X717" s="29"/>
    </row>
    <row r="718">
      <c r="V718" s="29"/>
      <c r="W718" s="29"/>
      <c r="X718" s="29"/>
    </row>
    <row r="719">
      <c r="V719" s="29"/>
      <c r="W719" s="29"/>
      <c r="X719" s="29"/>
    </row>
    <row r="720">
      <c r="V720" s="29"/>
      <c r="W720" s="29"/>
      <c r="X720" s="29"/>
    </row>
    <row r="721">
      <c r="V721" s="29"/>
      <c r="W721" s="29"/>
      <c r="X721" s="29"/>
    </row>
    <row r="722">
      <c r="V722" s="29"/>
      <c r="W722" s="29"/>
      <c r="X722" s="29"/>
    </row>
    <row r="723">
      <c r="V723" s="29"/>
      <c r="W723" s="29"/>
      <c r="X723" s="29"/>
    </row>
    <row r="724">
      <c r="V724" s="29"/>
      <c r="W724" s="29"/>
      <c r="X724" s="29"/>
    </row>
    <row r="725">
      <c r="V725" s="29"/>
      <c r="W725" s="29"/>
      <c r="X725" s="29"/>
    </row>
    <row r="726">
      <c r="V726" s="29"/>
      <c r="W726" s="29"/>
      <c r="X726" s="29"/>
    </row>
    <row r="727">
      <c r="V727" s="29"/>
      <c r="W727" s="29"/>
      <c r="X727" s="29"/>
    </row>
    <row r="728">
      <c r="V728" s="29"/>
      <c r="W728" s="29"/>
      <c r="X728" s="29"/>
    </row>
    <row r="729">
      <c r="V729" s="29"/>
      <c r="W729" s="29"/>
      <c r="X729" s="29"/>
    </row>
    <row r="730">
      <c r="V730" s="29"/>
      <c r="W730" s="29"/>
      <c r="X730" s="29"/>
    </row>
    <row r="731">
      <c r="V731" s="29"/>
      <c r="W731" s="29"/>
      <c r="X731" s="29"/>
    </row>
    <row r="732">
      <c r="V732" s="29"/>
      <c r="W732" s="29"/>
      <c r="X732" s="29"/>
    </row>
    <row r="733">
      <c r="V733" s="29"/>
      <c r="W733" s="29"/>
      <c r="X733" s="29"/>
    </row>
    <row r="734">
      <c r="V734" s="29"/>
      <c r="W734" s="29"/>
      <c r="X734" s="29"/>
    </row>
    <row r="735">
      <c r="V735" s="29"/>
      <c r="W735" s="29"/>
      <c r="X735" s="29"/>
    </row>
    <row r="736">
      <c r="V736" s="29"/>
      <c r="W736" s="29"/>
      <c r="X736" s="29"/>
    </row>
    <row r="737">
      <c r="V737" s="29"/>
      <c r="W737" s="29"/>
      <c r="X737" s="29"/>
    </row>
    <row r="738">
      <c r="V738" s="29"/>
      <c r="W738" s="29"/>
      <c r="X738" s="29"/>
    </row>
    <row r="739">
      <c r="V739" s="29"/>
      <c r="W739" s="29"/>
      <c r="X739" s="29"/>
    </row>
    <row r="740">
      <c r="V740" s="29"/>
      <c r="W740" s="29"/>
      <c r="X740" s="29"/>
    </row>
    <row r="741">
      <c r="V741" s="29"/>
      <c r="W741" s="29"/>
      <c r="X741" s="29"/>
    </row>
    <row r="742">
      <c r="V742" s="29"/>
      <c r="W742" s="29"/>
      <c r="X742" s="29"/>
    </row>
    <row r="743">
      <c r="V743" s="29"/>
      <c r="W743" s="29"/>
      <c r="X743" s="29"/>
    </row>
    <row r="744">
      <c r="V744" s="29"/>
      <c r="W744" s="29"/>
      <c r="X744" s="29"/>
    </row>
    <row r="745">
      <c r="V745" s="29"/>
      <c r="W745" s="29"/>
      <c r="X745" s="29"/>
    </row>
    <row r="746">
      <c r="V746" s="29"/>
      <c r="W746" s="29"/>
      <c r="X746" s="29"/>
    </row>
    <row r="747">
      <c r="V747" s="29"/>
      <c r="W747" s="29"/>
      <c r="X747" s="29"/>
    </row>
    <row r="748">
      <c r="V748" s="29"/>
      <c r="W748" s="29"/>
      <c r="X748" s="29"/>
    </row>
    <row r="749">
      <c r="V749" s="29"/>
      <c r="W749" s="29"/>
      <c r="X749" s="29"/>
    </row>
    <row r="750">
      <c r="V750" s="29"/>
      <c r="W750" s="29"/>
      <c r="X750" s="29"/>
    </row>
    <row r="751">
      <c r="V751" s="29"/>
      <c r="W751" s="29"/>
      <c r="X751" s="29"/>
    </row>
    <row r="752">
      <c r="V752" s="29"/>
      <c r="W752" s="29"/>
      <c r="X752" s="29"/>
    </row>
    <row r="753">
      <c r="V753" s="29"/>
      <c r="W753" s="29"/>
      <c r="X753" s="29"/>
    </row>
    <row r="754">
      <c r="V754" s="29"/>
      <c r="W754" s="29"/>
      <c r="X754" s="29"/>
    </row>
    <row r="755">
      <c r="V755" s="29"/>
      <c r="W755" s="29"/>
      <c r="X755" s="29"/>
    </row>
    <row r="756">
      <c r="V756" s="29"/>
      <c r="W756" s="29"/>
      <c r="X756" s="29"/>
    </row>
    <row r="757">
      <c r="V757" s="29"/>
      <c r="W757" s="29"/>
      <c r="X757" s="29"/>
    </row>
    <row r="758">
      <c r="V758" s="29"/>
      <c r="W758" s="29"/>
      <c r="X758" s="29"/>
    </row>
    <row r="759">
      <c r="V759" s="29"/>
      <c r="W759" s="29"/>
      <c r="X759" s="29"/>
    </row>
    <row r="760">
      <c r="V760" s="29"/>
      <c r="W760" s="29"/>
      <c r="X760" s="29"/>
    </row>
    <row r="761">
      <c r="V761" s="29"/>
      <c r="W761" s="29"/>
      <c r="X761" s="29"/>
    </row>
    <row r="762">
      <c r="V762" s="29"/>
      <c r="W762" s="29"/>
      <c r="X762" s="29"/>
    </row>
    <row r="763">
      <c r="V763" s="29"/>
      <c r="W763" s="29"/>
      <c r="X763" s="29"/>
    </row>
    <row r="764">
      <c r="V764" s="29"/>
      <c r="W764" s="29"/>
      <c r="X764" s="29"/>
    </row>
    <row r="765">
      <c r="V765" s="29"/>
      <c r="W765" s="29"/>
      <c r="X765" s="29"/>
    </row>
    <row r="766">
      <c r="V766" s="29"/>
      <c r="W766" s="29"/>
      <c r="X766" s="29"/>
    </row>
    <row r="767">
      <c r="V767" s="29"/>
      <c r="W767" s="29"/>
      <c r="X767" s="29"/>
    </row>
    <row r="768">
      <c r="V768" s="29"/>
      <c r="W768" s="29"/>
      <c r="X768" s="29"/>
    </row>
    <row r="769">
      <c r="V769" s="29"/>
      <c r="W769" s="29"/>
      <c r="X769" s="29"/>
    </row>
    <row r="770">
      <c r="V770" s="29"/>
      <c r="W770" s="29"/>
      <c r="X770" s="29"/>
    </row>
    <row r="771">
      <c r="V771" s="29"/>
      <c r="W771" s="29"/>
      <c r="X771" s="29"/>
    </row>
    <row r="772">
      <c r="V772" s="29"/>
      <c r="W772" s="29"/>
      <c r="X772" s="29"/>
    </row>
    <row r="773">
      <c r="V773" s="29"/>
      <c r="W773" s="29"/>
      <c r="X773" s="29"/>
    </row>
    <row r="774">
      <c r="V774" s="29"/>
      <c r="W774" s="29"/>
      <c r="X774" s="29"/>
    </row>
    <row r="775">
      <c r="V775" s="29"/>
      <c r="W775" s="29"/>
      <c r="X775" s="29"/>
    </row>
    <row r="776">
      <c r="V776" s="29"/>
      <c r="W776" s="29"/>
      <c r="X776" s="29"/>
    </row>
    <row r="777">
      <c r="V777" s="29"/>
      <c r="W777" s="29"/>
      <c r="X777" s="29"/>
    </row>
    <row r="778">
      <c r="V778" s="29"/>
      <c r="W778" s="29"/>
      <c r="X778" s="29"/>
    </row>
    <row r="779">
      <c r="V779" s="29"/>
      <c r="W779" s="29"/>
      <c r="X779" s="29"/>
    </row>
    <row r="780">
      <c r="V780" s="29"/>
      <c r="W780" s="29"/>
      <c r="X780" s="29"/>
    </row>
    <row r="781">
      <c r="V781" s="29"/>
      <c r="W781" s="29"/>
      <c r="X781" s="29"/>
    </row>
    <row r="782">
      <c r="V782" s="29"/>
      <c r="W782" s="29"/>
      <c r="X782" s="29"/>
    </row>
    <row r="783">
      <c r="V783" s="29"/>
      <c r="W783" s="29"/>
      <c r="X783" s="29"/>
    </row>
    <row r="784">
      <c r="V784" s="29"/>
      <c r="W784" s="29"/>
      <c r="X784" s="29"/>
    </row>
    <row r="785">
      <c r="V785" s="29"/>
      <c r="W785" s="29"/>
      <c r="X785" s="29"/>
    </row>
    <row r="786">
      <c r="V786" s="29"/>
      <c r="W786" s="29"/>
      <c r="X786" s="29"/>
    </row>
    <row r="787">
      <c r="V787" s="29"/>
      <c r="W787" s="29"/>
      <c r="X787" s="29"/>
    </row>
    <row r="788">
      <c r="V788" s="29"/>
      <c r="W788" s="29"/>
      <c r="X788" s="29"/>
    </row>
    <row r="789">
      <c r="V789" s="29"/>
      <c r="W789" s="29"/>
      <c r="X789" s="29"/>
    </row>
    <row r="790">
      <c r="V790" s="29"/>
      <c r="W790" s="29"/>
      <c r="X790" s="29"/>
    </row>
    <row r="791">
      <c r="V791" s="29"/>
      <c r="W791" s="29"/>
      <c r="X791" s="29"/>
    </row>
    <row r="792">
      <c r="V792" s="29"/>
      <c r="W792" s="29"/>
      <c r="X792" s="29"/>
    </row>
    <row r="793">
      <c r="V793" s="29"/>
      <c r="W793" s="29"/>
      <c r="X793" s="29"/>
    </row>
    <row r="794">
      <c r="V794" s="29"/>
      <c r="W794" s="29"/>
      <c r="X794" s="29"/>
    </row>
    <row r="795">
      <c r="V795" s="29"/>
      <c r="W795" s="29"/>
      <c r="X795" s="29"/>
    </row>
    <row r="796">
      <c r="V796" s="29"/>
      <c r="W796" s="29"/>
      <c r="X796" s="29"/>
    </row>
    <row r="797">
      <c r="V797" s="29"/>
      <c r="W797" s="29"/>
      <c r="X797" s="29"/>
    </row>
    <row r="798">
      <c r="V798" s="29"/>
      <c r="W798" s="29"/>
      <c r="X798" s="29"/>
    </row>
    <row r="799">
      <c r="V799" s="29"/>
      <c r="W799" s="29"/>
      <c r="X799" s="29"/>
    </row>
    <row r="800">
      <c r="V800" s="29"/>
      <c r="W800" s="29"/>
      <c r="X800" s="29"/>
    </row>
    <row r="801">
      <c r="V801" s="29"/>
      <c r="W801" s="29"/>
      <c r="X801" s="29"/>
    </row>
    <row r="802">
      <c r="V802" s="29"/>
      <c r="W802" s="29"/>
      <c r="X802" s="29"/>
    </row>
    <row r="803">
      <c r="V803" s="29"/>
      <c r="W803" s="29"/>
      <c r="X803" s="29"/>
    </row>
    <row r="804">
      <c r="V804" s="29"/>
      <c r="W804" s="29"/>
      <c r="X804" s="29"/>
    </row>
    <row r="805">
      <c r="V805" s="29"/>
      <c r="W805" s="29"/>
      <c r="X805" s="29"/>
    </row>
    <row r="806">
      <c r="V806" s="29"/>
      <c r="W806" s="29"/>
      <c r="X806" s="29"/>
    </row>
    <row r="807">
      <c r="V807" s="29"/>
      <c r="W807" s="29"/>
      <c r="X807" s="29"/>
    </row>
    <row r="808">
      <c r="V808" s="29"/>
      <c r="W808" s="29"/>
      <c r="X808" s="29"/>
    </row>
    <row r="809">
      <c r="V809" s="29"/>
      <c r="W809" s="29"/>
      <c r="X809" s="29"/>
    </row>
    <row r="810">
      <c r="V810" s="29"/>
      <c r="W810" s="29"/>
      <c r="X810" s="29"/>
    </row>
    <row r="811">
      <c r="V811" s="29"/>
      <c r="W811" s="29"/>
      <c r="X811" s="29"/>
    </row>
    <row r="812">
      <c r="V812" s="29"/>
      <c r="W812" s="29"/>
      <c r="X812" s="29"/>
    </row>
    <row r="813">
      <c r="V813" s="29"/>
      <c r="W813" s="29"/>
      <c r="X813" s="29"/>
    </row>
    <row r="814">
      <c r="V814" s="29"/>
      <c r="W814" s="29"/>
      <c r="X814" s="29"/>
    </row>
    <row r="815">
      <c r="V815" s="29"/>
      <c r="W815" s="29"/>
      <c r="X815" s="29"/>
    </row>
    <row r="816">
      <c r="V816" s="29"/>
      <c r="W816" s="29"/>
      <c r="X816" s="29"/>
    </row>
    <row r="817">
      <c r="V817" s="29"/>
      <c r="W817" s="29"/>
      <c r="X817" s="29"/>
    </row>
    <row r="818">
      <c r="V818" s="29"/>
      <c r="W818" s="29"/>
      <c r="X818" s="29"/>
    </row>
    <row r="819">
      <c r="V819" s="29"/>
      <c r="W819" s="29"/>
      <c r="X819" s="29"/>
    </row>
    <row r="820">
      <c r="V820" s="29"/>
      <c r="W820" s="29"/>
      <c r="X820" s="29"/>
    </row>
    <row r="821">
      <c r="V821" s="29"/>
      <c r="W821" s="29"/>
      <c r="X821" s="29"/>
    </row>
    <row r="822">
      <c r="V822" s="29"/>
      <c r="W822" s="29"/>
      <c r="X822" s="29"/>
    </row>
    <row r="823">
      <c r="V823" s="29"/>
      <c r="W823" s="29"/>
      <c r="X823" s="29"/>
    </row>
    <row r="824">
      <c r="V824" s="29"/>
      <c r="W824" s="29"/>
      <c r="X824" s="29"/>
    </row>
    <row r="825">
      <c r="V825" s="29"/>
      <c r="W825" s="29"/>
      <c r="X825" s="29"/>
    </row>
    <row r="826">
      <c r="V826" s="29"/>
      <c r="W826" s="29"/>
      <c r="X826" s="29"/>
    </row>
    <row r="827">
      <c r="V827" s="29"/>
      <c r="W827" s="29"/>
      <c r="X827" s="29"/>
    </row>
    <row r="828">
      <c r="V828" s="29"/>
      <c r="W828" s="29"/>
      <c r="X828" s="29"/>
    </row>
    <row r="829">
      <c r="V829" s="29"/>
      <c r="W829" s="29"/>
      <c r="X829" s="29"/>
    </row>
    <row r="830">
      <c r="V830" s="29"/>
      <c r="W830" s="29"/>
      <c r="X830" s="29"/>
    </row>
    <row r="831">
      <c r="V831" s="29"/>
      <c r="W831" s="29"/>
      <c r="X831" s="29"/>
    </row>
    <row r="832">
      <c r="V832" s="29"/>
      <c r="W832" s="29"/>
      <c r="X832" s="29"/>
    </row>
    <row r="833">
      <c r="V833" s="29"/>
      <c r="W833" s="29"/>
      <c r="X833" s="29"/>
    </row>
    <row r="834">
      <c r="V834" s="29"/>
      <c r="W834" s="29"/>
      <c r="X834" s="29"/>
    </row>
    <row r="835">
      <c r="V835" s="29"/>
      <c r="W835" s="29"/>
      <c r="X835" s="29"/>
    </row>
    <row r="836">
      <c r="V836" s="29"/>
      <c r="W836" s="29"/>
      <c r="X836" s="29"/>
    </row>
    <row r="837">
      <c r="V837" s="29"/>
      <c r="W837" s="29"/>
      <c r="X837" s="29"/>
    </row>
    <row r="838">
      <c r="V838" s="29"/>
      <c r="W838" s="29"/>
      <c r="X838" s="29"/>
    </row>
    <row r="839">
      <c r="V839" s="29"/>
      <c r="W839" s="29"/>
      <c r="X839" s="29"/>
    </row>
    <row r="840">
      <c r="V840" s="29"/>
      <c r="W840" s="29"/>
      <c r="X840" s="29"/>
    </row>
    <row r="841">
      <c r="V841" s="29"/>
      <c r="W841" s="29"/>
      <c r="X841" s="29"/>
    </row>
    <row r="842">
      <c r="V842" s="29"/>
      <c r="W842" s="29"/>
      <c r="X842" s="29"/>
    </row>
    <row r="843">
      <c r="V843" s="29"/>
      <c r="W843" s="29"/>
      <c r="X843" s="29"/>
    </row>
    <row r="844">
      <c r="V844" s="29"/>
      <c r="W844" s="29"/>
      <c r="X844" s="29"/>
    </row>
    <row r="845">
      <c r="V845" s="29"/>
      <c r="W845" s="29"/>
      <c r="X845" s="29"/>
    </row>
    <row r="846">
      <c r="V846" s="29"/>
      <c r="W846" s="29"/>
      <c r="X846" s="29"/>
    </row>
    <row r="847">
      <c r="V847" s="29"/>
      <c r="W847" s="29"/>
      <c r="X847" s="29"/>
    </row>
    <row r="848">
      <c r="V848" s="29"/>
      <c r="W848" s="29"/>
      <c r="X848" s="29"/>
    </row>
    <row r="849">
      <c r="V849" s="29"/>
      <c r="W849" s="29"/>
      <c r="X849" s="29"/>
    </row>
    <row r="850">
      <c r="V850" s="29"/>
      <c r="W850" s="29"/>
      <c r="X850" s="29"/>
    </row>
    <row r="851">
      <c r="V851" s="29"/>
      <c r="W851" s="29"/>
      <c r="X851" s="29"/>
    </row>
    <row r="852">
      <c r="V852" s="29"/>
      <c r="W852" s="29"/>
      <c r="X852" s="29"/>
    </row>
    <row r="853">
      <c r="V853" s="29"/>
      <c r="W853" s="29"/>
      <c r="X853" s="29"/>
    </row>
    <row r="854">
      <c r="V854" s="29"/>
      <c r="W854" s="29"/>
      <c r="X854" s="29"/>
    </row>
    <row r="855">
      <c r="V855" s="29"/>
      <c r="W855" s="29"/>
      <c r="X855" s="29"/>
    </row>
    <row r="856">
      <c r="V856" s="29"/>
      <c r="W856" s="29"/>
      <c r="X856" s="29"/>
    </row>
    <row r="857">
      <c r="V857" s="29"/>
      <c r="W857" s="29"/>
      <c r="X857" s="29"/>
    </row>
    <row r="858">
      <c r="V858" s="29"/>
      <c r="W858" s="29"/>
      <c r="X858" s="29"/>
    </row>
    <row r="859">
      <c r="V859" s="29"/>
      <c r="W859" s="29"/>
      <c r="X859" s="29"/>
    </row>
    <row r="860">
      <c r="V860" s="29"/>
      <c r="W860" s="29"/>
      <c r="X860" s="29"/>
    </row>
    <row r="861">
      <c r="V861" s="29"/>
      <c r="W861" s="29"/>
      <c r="X861" s="29"/>
    </row>
    <row r="862">
      <c r="V862" s="29"/>
      <c r="W862" s="29"/>
      <c r="X862" s="29"/>
    </row>
    <row r="863">
      <c r="V863" s="29"/>
      <c r="W863" s="29"/>
      <c r="X863" s="29"/>
    </row>
    <row r="864">
      <c r="V864" s="29"/>
      <c r="W864" s="29"/>
      <c r="X864" s="29"/>
    </row>
    <row r="865">
      <c r="V865" s="29"/>
      <c r="W865" s="29"/>
      <c r="X865" s="29"/>
    </row>
    <row r="866">
      <c r="V866" s="29"/>
      <c r="W866" s="29"/>
      <c r="X866" s="29"/>
    </row>
    <row r="867">
      <c r="V867" s="29"/>
      <c r="W867" s="29"/>
      <c r="X867" s="29"/>
    </row>
    <row r="868">
      <c r="V868" s="29"/>
      <c r="W868" s="29"/>
      <c r="X868" s="29"/>
    </row>
    <row r="869">
      <c r="V869" s="29"/>
      <c r="W869" s="29"/>
      <c r="X869" s="29"/>
    </row>
    <row r="870">
      <c r="V870" s="29"/>
      <c r="W870" s="29"/>
      <c r="X870" s="29"/>
    </row>
    <row r="871">
      <c r="V871" s="29"/>
      <c r="W871" s="29"/>
      <c r="X871" s="29"/>
    </row>
    <row r="872">
      <c r="V872" s="29"/>
      <c r="W872" s="29"/>
      <c r="X872" s="29"/>
    </row>
    <row r="873">
      <c r="V873" s="29"/>
      <c r="W873" s="29"/>
      <c r="X873" s="29"/>
    </row>
    <row r="874">
      <c r="V874" s="29"/>
      <c r="W874" s="29"/>
      <c r="X874" s="29"/>
    </row>
    <row r="875">
      <c r="V875" s="29"/>
      <c r="W875" s="29"/>
      <c r="X875" s="29"/>
    </row>
    <row r="876">
      <c r="V876" s="29"/>
      <c r="W876" s="29"/>
      <c r="X876" s="29"/>
    </row>
    <row r="877">
      <c r="V877" s="29"/>
      <c r="W877" s="29"/>
      <c r="X877" s="29"/>
    </row>
    <row r="878">
      <c r="V878" s="29"/>
      <c r="W878" s="29"/>
      <c r="X878" s="29"/>
    </row>
    <row r="879">
      <c r="V879" s="29"/>
      <c r="W879" s="29"/>
      <c r="X879" s="29"/>
    </row>
    <row r="880">
      <c r="V880" s="29"/>
      <c r="W880" s="29"/>
      <c r="X880" s="29"/>
    </row>
    <row r="881">
      <c r="V881" s="29"/>
      <c r="W881" s="29"/>
      <c r="X881" s="29"/>
    </row>
    <row r="882">
      <c r="V882" s="29"/>
      <c r="W882" s="29"/>
      <c r="X882" s="29"/>
    </row>
    <row r="883">
      <c r="V883" s="29"/>
      <c r="W883" s="29"/>
      <c r="X883" s="29"/>
    </row>
    <row r="884">
      <c r="V884" s="29"/>
      <c r="W884" s="29"/>
      <c r="X884" s="29"/>
    </row>
    <row r="885">
      <c r="V885" s="29"/>
      <c r="W885" s="29"/>
      <c r="X885" s="29"/>
    </row>
    <row r="886">
      <c r="V886" s="29"/>
      <c r="W886" s="29"/>
      <c r="X886" s="29"/>
    </row>
    <row r="887">
      <c r="V887" s="29"/>
      <c r="W887" s="29"/>
      <c r="X887" s="29"/>
    </row>
    <row r="888">
      <c r="V888" s="29"/>
      <c r="W888" s="29"/>
      <c r="X888" s="29"/>
    </row>
    <row r="889">
      <c r="V889" s="29"/>
      <c r="W889" s="29"/>
      <c r="X889" s="29"/>
    </row>
    <row r="890">
      <c r="V890" s="29"/>
      <c r="W890" s="29"/>
      <c r="X890" s="29"/>
    </row>
    <row r="891">
      <c r="V891" s="29"/>
      <c r="W891" s="29"/>
      <c r="X891" s="29"/>
    </row>
    <row r="892">
      <c r="V892" s="29"/>
      <c r="W892" s="29"/>
      <c r="X892" s="29"/>
    </row>
    <row r="893">
      <c r="V893" s="29"/>
      <c r="W893" s="29"/>
      <c r="X893" s="29"/>
    </row>
    <row r="894">
      <c r="V894" s="29"/>
      <c r="W894" s="29"/>
      <c r="X894" s="29"/>
    </row>
    <row r="895">
      <c r="V895" s="29"/>
      <c r="W895" s="29"/>
      <c r="X895" s="29"/>
    </row>
    <row r="896">
      <c r="V896" s="29"/>
      <c r="W896" s="29"/>
      <c r="X896" s="29"/>
    </row>
    <row r="897">
      <c r="V897" s="29"/>
      <c r="W897" s="29"/>
      <c r="X897" s="29"/>
    </row>
    <row r="898">
      <c r="V898" s="29"/>
      <c r="W898" s="29"/>
      <c r="X898" s="29"/>
    </row>
    <row r="899">
      <c r="V899" s="29"/>
      <c r="W899" s="29"/>
      <c r="X899" s="29"/>
    </row>
    <row r="900">
      <c r="V900" s="29"/>
      <c r="W900" s="29"/>
      <c r="X900" s="29"/>
    </row>
    <row r="901">
      <c r="V901" s="29"/>
      <c r="W901" s="29"/>
      <c r="X901" s="29"/>
    </row>
    <row r="902">
      <c r="V902" s="29"/>
      <c r="W902" s="29"/>
      <c r="X902" s="29"/>
    </row>
    <row r="903">
      <c r="V903" s="29"/>
      <c r="W903" s="29"/>
      <c r="X903" s="29"/>
    </row>
    <row r="904">
      <c r="V904" s="29"/>
      <c r="W904" s="29"/>
      <c r="X904" s="29"/>
    </row>
    <row r="905">
      <c r="V905" s="29"/>
      <c r="W905" s="29"/>
      <c r="X905" s="29"/>
    </row>
    <row r="906">
      <c r="V906" s="29"/>
      <c r="W906" s="29"/>
      <c r="X906" s="29"/>
    </row>
    <row r="907">
      <c r="V907" s="29"/>
      <c r="W907" s="29"/>
      <c r="X907" s="29"/>
    </row>
    <row r="908">
      <c r="V908" s="29"/>
      <c r="W908" s="29"/>
      <c r="X908" s="29"/>
    </row>
    <row r="909">
      <c r="V909" s="29"/>
      <c r="W909" s="29"/>
      <c r="X909" s="29"/>
    </row>
    <row r="910">
      <c r="V910" s="29"/>
      <c r="W910" s="29"/>
      <c r="X910" s="29"/>
    </row>
    <row r="911">
      <c r="V911" s="29"/>
      <c r="W911" s="29"/>
      <c r="X911" s="29"/>
    </row>
    <row r="912">
      <c r="V912" s="29"/>
      <c r="W912" s="29"/>
      <c r="X912" s="29"/>
    </row>
    <row r="913">
      <c r="V913" s="29"/>
      <c r="W913" s="29"/>
      <c r="X913" s="29"/>
    </row>
    <row r="914">
      <c r="V914" s="29"/>
      <c r="W914" s="29"/>
      <c r="X914" s="29"/>
    </row>
    <row r="915">
      <c r="V915" s="29"/>
      <c r="W915" s="29"/>
      <c r="X915" s="29"/>
    </row>
    <row r="916">
      <c r="V916" s="29"/>
      <c r="W916" s="29"/>
      <c r="X916" s="29"/>
    </row>
    <row r="917">
      <c r="V917" s="29"/>
      <c r="W917" s="29"/>
      <c r="X917" s="29"/>
    </row>
    <row r="918">
      <c r="V918" s="29"/>
      <c r="W918" s="29"/>
      <c r="X918" s="29"/>
    </row>
    <row r="919">
      <c r="V919" s="29"/>
      <c r="W919" s="29"/>
      <c r="X919" s="29"/>
    </row>
    <row r="920">
      <c r="V920" s="29"/>
      <c r="W920" s="29"/>
      <c r="X920" s="29"/>
    </row>
    <row r="921">
      <c r="V921" s="29"/>
      <c r="W921" s="29"/>
      <c r="X921" s="29"/>
    </row>
    <row r="922">
      <c r="V922" s="29"/>
      <c r="W922" s="29"/>
      <c r="X922" s="29"/>
    </row>
    <row r="923">
      <c r="V923" s="29"/>
      <c r="W923" s="29"/>
      <c r="X923" s="29"/>
    </row>
    <row r="924">
      <c r="V924" s="29"/>
      <c r="W924" s="29"/>
      <c r="X924" s="29"/>
    </row>
    <row r="925">
      <c r="V925" s="29"/>
      <c r="W925" s="29"/>
      <c r="X925" s="29"/>
    </row>
    <row r="926">
      <c r="V926" s="29"/>
      <c r="W926" s="29"/>
      <c r="X926" s="29"/>
    </row>
    <row r="927">
      <c r="V927" s="29"/>
      <c r="W927" s="29"/>
      <c r="X927" s="29"/>
    </row>
    <row r="928">
      <c r="V928" s="29"/>
      <c r="W928" s="29"/>
      <c r="X928" s="29"/>
    </row>
    <row r="929">
      <c r="V929" s="29"/>
      <c r="W929" s="29"/>
      <c r="X929" s="29"/>
    </row>
    <row r="930">
      <c r="V930" s="29"/>
      <c r="W930" s="29"/>
      <c r="X930" s="29"/>
    </row>
    <row r="931">
      <c r="V931" s="29"/>
      <c r="W931" s="29"/>
      <c r="X931" s="29"/>
    </row>
    <row r="932">
      <c r="V932" s="29"/>
      <c r="W932" s="29"/>
      <c r="X932" s="29"/>
    </row>
    <row r="933">
      <c r="V933" s="29"/>
      <c r="W933" s="29"/>
      <c r="X933" s="29"/>
    </row>
    <row r="934">
      <c r="V934" s="29"/>
      <c r="W934" s="29"/>
      <c r="X934" s="29"/>
    </row>
    <row r="935">
      <c r="V935" s="29"/>
      <c r="W935" s="29"/>
      <c r="X935" s="29"/>
    </row>
    <row r="936">
      <c r="V936" s="29"/>
      <c r="W936" s="29"/>
      <c r="X936" s="29"/>
    </row>
    <row r="937">
      <c r="V937" s="29"/>
      <c r="W937" s="29"/>
      <c r="X937" s="29"/>
    </row>
    <row r="938">
      <c r="V938" s="29"/>
      <c r="W938" s="29"/>
      <c r="X938" s="29"/>
    </row>
    <row r="939">
      <c r="V939" s="29"/>
      <c r="W939" s="29"/>
      <c r="X939" s="29"/>
    </row>
    <row r="940">
      <c r="V940" s="29"/>
      <c r="W940" s="29"/>
      <c r="X940" s="29"/>
    </row>
    <row r="941">
      <c r="V941" s="29"/>
      <c r="W941" s="29"/>
      <c r="X941" s="29"/>
    </row>
    <row r="942">
      <c r="V942" s="29"/>
      <c r="W942" s="29"/>
      <c r="X942" s="29"/>
    </row>
    <row r="943">
      <c r="V943" s="29"/>
      <c r="W943" s="29"/>
      <c r="X943" s="29"/>
    </row>
    <row r="944">
      <c r="V944" s="29"/>
      <c r="W944" s="29"/>
      <c r="X944" s="29"/>
    </row>
    <row r="945">
      <c r="V945" s="29"/>
      <c r="W945" s="29"/>
      <c r="X945" s="29"/>
    </row>
    <row r="946">
      <c r="V946" s="29"/>
      <c r="W946" s="29"/>
      <c r="X946" s="29"/>
    </row>
    <row r="947">
      <c r="V947" s="29"/>
      <c r="W947" s="29"/>
      <c r="X947" s="29"/>
    </row>
    <row r="948">
      <c r="V948" s="29"/>
      <c r="W948" s="29"/>
      <c r="X948" s="29"/>
    </row>
    <row r="949">
      <c r="V949" s="29"/>
      <c r="W949" s="29"/>
      <c r="X949" s="29"/>
    </row>
    <row r="950">
      <c r="V950" s="29"/>
      <c r="W950" s="29"/>
      <c r="X950" s="29"/>
    </row>
    <row r="951">
      <c r="V951" s="29"/>
      <c r="W951" s="29"/>
      <c r="X951" s="29"/>
    </row>
    <row r="952">
      <c r="V952" s="29"/>
      <c r="W952" s="29"/>
      <c r="X952" s="29"/>
    </row>
    <row r="953">
      <c r="V953" s="29"/>
      <c r="W953" s="29"/>
      <c r="X953" s="29"/>
    </row>
    <row r="954">
      <c r="V954" s="29"/>
      <c r="W954" s="29"/>
      <c r="X954" s="29"/>
    </row>
    <row r="955">
      <c r="V955" s="29"/>
      <c r="W955" s="29"/>
      <c r="X955" s="29"/>
    </row>
    <row r="956">
      <c r="V956" s="29"/>
      <c r="W956" s="29"/>
      <c r="X956" s="29"/>
    </row>
    <row r="957">
      <c r="V957" s="29"/>
      <c r="W957" s="29"/>
      <c r="X957" s="29"/>
    </row>
    <row r="958">
      <c r="V958" s="29"/>
      <c r="W958" s="29"/>
      <c r="X958" s="29"/>
    </row>
    <row r="959">
      <c r="V959" s="29"/>
      <c r="W959" s="29"/>
      <c r="X959" s="29"/>
    </row>
    <row r="960">
      <c r="V960" s="29"/>
      <c r="W960" s="29"/>
      <c r="X960" s="29"/>
    </row>
    <row r="961">
      <c r="V961" s="29"/>
      <c r="W961" s="29"/>
      <c r="X961" s="29"/>
    </row>
    <row r="962">
      <c r="V962" s="29"/>
      <c r="W962" s="29"/>
      <c r="X962" s="29"/>
    </row>
    <row r="963">
      <c r="V963" s="29"/>
      <c r="W963" s="29"/>
      <c r="X963" s="29"/>
    </row>
    <row r="964">
      <c r="V964" s="29"/>
      <c r="W964" s="29"/>
      <c r="X964" s="29"/>
    </row>
    <row r="965">
      <c r="V965" s="29"/>
      <c r="W965" s="29"/>
      <c r="X965" s="29"/>
    </row>
    <row r="966">
      <c r="V966" s="29"/>
      <c r="W966" s="29"/>
      <c r="X966" s="29"/>
    </row>
    <row r="967">
      <c r="V967" s="29"/>
      <c r="W967" s="29"/>
      <c r="X967" s="29"/>
    </row>
    <row r="968">
      <c r="V968" s="29"/>
      <c r="W968" s="29"/>
      <c r="X968" s="29"/>
    </row>
    <row r="969">
      <c r="V969" s="29"/>
      <c r="W969" s="29"/>
      <c r="X969" s="29"/>
    </row>
    <row r="970">
      <c r="V970" s="29"/>
      <c r="W970" s="29"/>
      <c r="X970" s="29"/>
    </row>
    <row r="971">
      <c r="V971" s="29"/>
      <c r="W971" s="29"/>
      <c r="X971" s="29"/>
    </row>
    <row r="972">
      <c r="V972" s="29"/>
      <c r="W972" s="29"/>
      <c r="X972" s="29"/>
    </row>
    <row r="973">
      <c r="V973" s="29"/>
      <c r="W973" s="29"/>
      <c r="X973" s="29"/>
    </row>
    <row r="974">
      <c r="V974" s="29"/>
      <c r="W974" s="29"/>
      <c r="X974" s="29"/>
    </row>
    <row r="975">
      <c r="V975" s="29"/>
      <c r="W975" s="29"/>
      <c r="X975" s="29"/>
    </row>
    <row r="976">
      <c r="V976" s="29"/>
      <c r="W976" s="29"/>
      <c r="X976" s="29"/>
    </row>
    <row r="977">
      <c r="V977" s="29"/>
      <c r="W977" s="29"/>
      <c r="X977" s="29"/>
    </row>
    <row r="978">
      <c r="V978" s="29"/>
      <c r="W978" s="29"/>
      <c r="X978" s="29"/>
    </row>
    <row r="979">
      <c r="V979" s="29"/>
      <c r="W979" s="29"/>
      <c r="X979" s="29"/>
    </row>
    <row r="980">
      <c r="V980" s="29"/>
      <c r="W980" s="29"/>
      <c r="X980" s="29"/>
    </row>
    <row r="981">
      <c r="V981" s="29"/>
      <c r="W981" s="29"/>
      <c r="X981" s="29"/>
    </row>
    <row r="982">
      <c r="V982" s="29"/>
      <c r="W982" s="29"/>
      <c r="X982" s="29"/>
    </row>
    <row r="983">
      <c r="V983" s="29"/>
      <c r="W983" s="29"/>
      <c r="X983" s="29"/>
    </row>
    <row r="984">
      <c r="V984" s="29"/>
      <c r="W984" s="29"/>
      <c r="X984" s="29"/>
    </row>
    <row r="985">
      <c r="V985" s="29"/>
      <c r="W985" s="29"/>
      <c r="X985" s="29"/>
    </row>
    <row r="986">
      <c r="V986" s="29"/>
      <c r="W986" s="29"/>
      <c r="X986" s="29"/>
    </row>
    <row r="987">
      <c r="V987" s="29"/>
      <c r="W987" s="29"/>
      <c r="X987" s="29"/>
    </row>
    <row r="988">
      <c r="V988" s="29"/>
      <c r="W988" s="29"/>
      <c r="X988" s="29"/>
    </row>
    <row r="989">
      <c r="V989" s="29"/>
      <c r="W989" s="29"/>
      <c r="X989" s="29"/>
    </row>
    <row r="990">
      <c r="V990" s="29"/>
      <c r="W990" s="29"/>
      <c r="X990" s="29"/>
    </row>
    <row r="991">
      <c r="V991" s="29"/>
      <c r="W991" s="29"/>
      <c r="X991" s="29"/>
    </row>
    <row r="992">
      <c r="V992" s="29"/>
      <c r="W992" s="29"/>
      <c r="X992" s="29"/>
    </row>
    <row r="993">
      <c r="V993" s="29"/>
      <c r="W993" s="29"/>
      <c r="X993" s="29"/>
    </row>
    <row r="994">
      <c r="V994" s="29"/>
      <c r="W994" s="29"/>
      <c r="X994" s="29"/>
    </row>
    <row r="995">
      <c r="V995" s="29"/>
      <c r="W995" s="29"/>
      <c r="X995" s="29"/>
    </row>
    <row r="996">
      <c r="V996" s="29"/>
      <c r="W996" s="29"/>
      <c r="X996" s="29"/>
    </row>
    <row r="997">
      <c r="V997" s="29"/>
      <c r="W997" s="29"/>
      <c r="X997" s="29"/>
    </row>
    <row r="998">
      <c r="V998" s="29"/>
      <c r="W998" s="29"/>
      <c r="X998" s="29"/>
    </row>
    <row r="999">
      <c r="V999" s="29"/>
      <c r="W999" s="29"/>
      <c r="X999" s="29"/>
    </row>
    <row r="1000">
      <c r="V1000" s="29"/>
      <c r="W1000" s="29"/>
      <c r="X1000" s="29"/>
    </row>
    <row r="1001">
      <c r="V1001" s="29"/>
      <c r="W1001" s="29"/>
      <c r="X1001" s="29"/>
    </row>
    <row r="1002">
      <c r="V1002" s="29"/>
      <c r="W1002" s="29"/>
      <c r="X1002" s="29"/>
    </row>
    <row r="1003">
      <c r="V1003" s="29"/>
      <c r="W1003" s="29"/>
      <c r="X1003" s="29"/>
    </row>
    <row r="1004">
      <c r="V1004" s="29"/>
      <c r="W1004" s="29"/>
      <c r="X1004" s="29"/>
    </row>
    <row r="1005">
      <c r="V1005" s="29"/>
      <c r="W1005" s="29"/>
      <c r="X1005" s="29"/>
    </row>
    <row r="1006">
      <c r="V1006" s="29"/>
      <c r="W1006" s="29"/>
      <c r="X1006" s="29"/>
    </row>
    <row r="1007">
      <c r="V1007" s="29"/>
      <c r="W1007" s="29"/>
      <c r="X1007" s="29"/>
    </row>
    <row r="1008">
      <c r="V1008" s="29"/>
      <c r="W1008" s="29"/>
      <c r="X1008" s="29"/>
    </row>
    <row r="1009">
      <c r="V1009" s="29"/>
      <c r="W1009" s="29"/>
      <c r="X1009" s="29"/>
    </row>
    <row r="1010">
      <c r="V1010" s="29"/>
      <c r="W1010" s="29"/>
      <c r="X1010" s="29"/>
    </row>
    <row r="1011">
      <c r="V1011" s="29"/>
      <c r="W1011" s="29"/>
      <c r="X1011" s="29"/>
    </row>
    <row r="1012">
      <c r="V1012" s="29"/>
      <c r="W1012" s="29"/>
      <c r="X1012" s="29"/>
    </row>
    <row r="1013">
      <c r="V1013" s="29"/>
      <c r="W1013" s="29"/>
      <c r="X1013" s="29"/>
    </row>
    <row r="1014">
      <c r="V1014" s="29"/>
      <c r="W1014" s="29"/>
      <c r="X1014" s="29"/>
    </row>
    <row r="1015">
      <c r="V1015" s="29"/>
      <c r="W1015" s="29"/>
      <c r="X1015" s="29"/>
    </row>
    <row r="1016">
      <c r="V1016" s="29"/>
      <c r="W1016" s="29"/>
      <c r="X1016" s="29"/>
    </row>
    <row r="1017">
      <c r="V1017" s="29"/>
      <c r="W1017" s="29"/>
      <c r="X1017" s="29"/>
    </row>
    <row r="1018">
      <c r="V1018" s="29"/>
      <c r="W1018" s="29"/>
      <c r="X1018" s="29"/>
    </row>
    <row r="1019">
      <c r="V1019" s="29"/>
      <c r="W1019" s="29"/>
      <c r="X1019" s="29"/>
    </row>
    <row r="1020">
      <c r="V1020" s="29"/>
      <c r="W1020" s="29"/>
      <c r="X1020" s="29"/>
    </row>
    <row r="1021">
      <c r="V1021" s="29"/>
      <c r="W1021" s="29"/>
      <c r="X1021" s="29"/>
    </row>
    <row r="1022">
      <c r="V1022" s="29"/>
      <c r="W1022" s="29"/>
      <c r="X1022" s="29"/>
    </row>
    <row r="1023">
      <c r="V1023" s="29"/>
      <c r="W1023" s="29"/>
      <c r="X1023" s="29"/>
    </row>
    <row r="1024">
      <c r="V1024" s="29"/>
      <c r="W1024" s="29"/>
      <c r="X1024" s="29"/>
    </row>
    <row r="1025">
      <c r="V1025" s="29"/>
      <c r="W1025" s="29"/>
      <c r="X1025" s="29"/>
    </row>
    <row r="1026">
      <c r="V1026" s="29"/>
      <c r="W1026" s="29"/>
      <c r="X1026" s="29"/>
    </row>
    <row r="1027">
      <c r="V1027" s="29"/>
      <c r="W1027" s="29"/>
      <c r="X1027" s="29"/>
    </row>
    <row r="1028">
      <c r="V1028" s="29"/>
      <c r="W1028" s="29"/>
      <c r="X1028" s="29"/>
    </row>
    <row r="1029">
      <c r="V1029" s="29"/>
      <c r="W1029" s="29"/>
      <c r="X1029" s="29"/>
    </row>
    <row r="1030">
      <c r="V1030" s="29"/>
      <c r="W1030" s="29"/>
      <c r="X1030" s="29"/>
    </row>
    <row r="1031">
      <c r="V1031" s="29"/>
      <c r="W1031" s="29"/>
      <c r="X1031" s="29"/>
    </row>
    <row r="1032">
      <c r="V1032" s="29"/>
      <c r="W1032" s="29"/>
      <c r="X1032" s="29"/>
    </row>
    <row r="1033">
      <c r="V1033" s="29"/>
      <c r="W1033" s="29"/>
      <c r="X1033" s="29"/>
    </row>
    <row r="1034">
      <c r="V1034" s="29"/>
      <c r="W1034" s="29"/>
      <c r="X1034" s="29"/>
    </row>
    <row r="1035">
      <c r="V1035" s="29"/>
      <c r="W1035" s="29"/>
      <c r="X1035" s="29"/>
    </row>
    <row r="1036">
      <c r="V1036" s="29"/>
      <c r="W1036" s="29"/>
      <c r="X1036" s="29"/>
    </row>
    <row r="1037">
      <c r="V1037" s="29"/>
      <c r="W1037" s="29"/>
      <c r="X1037" s="29"/>
    </row>
    <row r="1038">
      <c r="V1038" s="29"/>
      <c r="W1038" s="29"/>
      <c r="X1038" s="29"/>
    </row>
    <row r="1039">
      <c r="V1039" s="29"/>
      <c r="W1039" s="29"/>
      <c r="X1039" s="29"/>
    </row>
    <row r="1040">
      <c r="V1040" s="29"/>
      <c r="W1040" s="29"/>
      <c r="X1040" s="29"/>
    </row>
    <row r="1041">
      <c r="V1041" s="29"/>
      <c r="W1041" s="29"/>
      <c r="X1041" s="29"/>
    </row>
    <row r="1042">
      <c r="V1042" s="29"/>
      <c r="W1042" s="29"/>
      <c r="X1042" s="29"/>
    </row>
    <row r="1043">
      <c r="V1043" s="29"/>
      <c r="W1043" s="29"/>
      <c r="X1043" s="29"/>
    </row>
    <row r="1044">
      <c r="V1044" s="29"/>
      <c r="W1044" s="29"/>
      <c r="X1044" s="29"/>
    </row>
    <row r="1045">
      <c r="V1045" s="29"/>
      <c r="W1045" s="29"/>
      <c r="X1045" s="29"/>
    </row>
    <row r="1046">
      <c r="V1046" s="29"/>
      <c r="W1046" s="29"/>
      <c r="X1046" s="29"/>
    </row>
    <row r="1047">
      <c r="V1047" s="29"/>
      <c r="W1047" s="29"/>
      <c r="X1047" s="29"/>
    </row>
    <row r="1048">
      <c r="V1048" s="29"/>
      <c r="W1048" s="29"/>
      <c r="X1048" s="29"/>
    </row>
    <row r="1049">
      <c r="V1049" s="29"/>
      <c r="W1049" s="29"/>
      <c r="X1049" s="29"/>
    </row>
    <row r="1050">
      <c r="V1050" s="29"/>
      <c r="W1050" s="29"/>
      <c r="X1050" s="29"/>
    </row>
    <row r="1051">
      <c r="V1051" s="29"/>
      <c r="W1051" s="29"/>
      <c r="X1051" s="29"/>
    </row>
    <row r="1052">
      <c r="V1052" s="29"/>
      <c r="W1052" s="29"/>
      <c r="X1052" s="29"/>
    </row>
    <row r="1053">
      <c r="V1053" s="29"/>
      <c r="W1053" s="29"/>
      <c r="X1053" s="29"/>
    </row>
    <row r="1054">
      <c r="V1054" s="29"/>
      <c r="W1054" s="29"/>
      <c r="X1054" s="29"/>
    </row>
    <row r="1055">
      <c r="V1055" s="29"/>
      <c r="W1055" s="29"/>
      <c r="X1055" s="29"/>
    </row>
    <row r="1056">
      <c r="V1056" s="29"/>
      <c r="W1056" s="29"/>
      <c r="X1056" s="29"/>
    </row>
    <row r="1057">
      <c r="V1057" s="29"/>
      <c r="W1057" s="29"/>
      <c r="X1057" s="29"/>
    </row>
    <row r="1058">
      <c r="V1058" s="29"/>
      <c r="W1058" s="29"/>
      <c r="X1058" s="29"/>
    </row>
    <row r="1059">
      <c r="V1059" s="29"/>
      <c r="W1059" s="29"/>
      <c r="X1059" s="29"/>
    </row>
    <row r="1060">
      <c r="V1060" s="29"/>
      <c r="W1060" s="29"/>
      <c r="X1060" s="29"/>
    </row>
    <row r="1061">
      <c r="V1061" s="29"/>
      <c r="W1061" s="29"/>
      <c r="X1061" s="29"/>
    </row>
    <row r="1062">
      <c r="V1062" s="29"/>
      <c r="W1062" s="29"/>
      <c r="X1062" s="29"/>
    </row>
    <row r="1063">
      <c r="V1063" s="29"/>
      <c r="W1063" s="29"/>
      <c r="X1063" s="29"/>
    </row>
    <row r="1064">
      <c r="V1064" s="29"/>
      <c r="W1064" s="29"/>
      <c r="X1064" s="29"/>
    </row>
    <row r="1065">
      <c r="V1065" s="29"/>
      <c r="W1065" s="29"/>
      <c r="X1065" s="29"/>
    </row>
    <row r="1066">
      <c r="V1066" s="29"/>
      <c r="W1066" s="29"/>
      <c r="X1066" s="29"/>
    </row>
    <row r="1067">
      <c r="V1067" s="29"/>
      <c r="W1067" s="29"/>
      <c r="X1067" s="29"/>
    </row>
    <row r="1068">
      <c r="V1068" s="29"/>
      <c r="W1068" s="29"/>
      <c r="X1068" s="29"/>
    </row>
    <row r="1069">
      <c r="V1069" s="29"/>
      <c r="W1069" s="29"/>
      <c r="X1069" s="29"/>
    </row>
    <row r="1070">
      <c r="V1070" s="29"/>
      <c r="W1070" s="29"/>
      <c r="X1070" s="29"/>
    </row>
    <row r="1071">
      <c r="V1071" s="29"/>
      <c r="W1071" s="29"/>
      <c r="X1071" s="29"/>
    </row>
    <row r="1072">
      <c r="V1072" s="29"/>
      <c r="W1072" s="29"/>
      <c r="X1072" s="29"/>
    </row>
    <row r="1073">
      <c r="V1073" s="29"/>
      <c r="W1073" s="29"/>
      <c r="X1073" s="29"/>
    </row>
    <row r="1074">
      <c r="V1074" s="29"/>
      <c r="W1074" s="29"/>
      <c r="X1074" s="29"/>
    </row>
    <row r="1075">
      <c r="V1075" s="29"/>
      <c r="W1075" s="29"/>
      <c r="X1075" s="29"/>
    </row>
    <row r="1076">
      <c r="V1076" s="29"/>
      <c r="W1076" s="29"/>
      <c r="X1076" s="29"/>
    </row>
    <row r="1077">
      <c r="V1077" s="29"/>
      <c r="W1077" s="29"/>
      <c r="X1077" s="29"/>
    </row>
    <row r="1078">
      <c r="V1078" s="29"/>
      <c r="W1078" s="29"/>
      <c r="X1078" s="29"/>
    </row>
    <row r="1079">
      <c r="V1079" s="29"/>
      <c r="W1079" s="29"/>
      <c r="X1079" s="29"/>
    </row>
    <row r="1080">
      <c r="V1080" s="29"/>
      <c r="W1080" s="29"/>
      <c r="X1080" s="29"/>
    </row>
    <row r="1081">
      <c r="V1081" s="29"/>
      <c r="W1081" s="29"/>
      <c r="X1081" s="29"/>
    </row>
    <row r="1082">
      <c r="V1082" s="29"/>
      <c r="W1082" s="29"/>
      <c r="X1082" s="29"/>
    </row>
    <row r="1083">
      <c r="V1083" s="29"/>
      <c r="W1083" s="29"/>
      <c r="X1083" s="29"/>
    </row>
    <row r="1084">
      <c r="V1084" s="29"/>
      <c r="W1084" s="29"/>
      <c r="X1084" s="29"/>
    </row>
    <row r="1085">
      <c r="V1085" s="29"/>
      <c r="W1085" s="29"/>
      <c r="X1085" s="29"/>
    </row>
    <row r="1086">
      <c r="V1086" s="29"/>
      <c r="W1086" s="29"/>
      <c r="X1086" s="29"/>
    </row>
    <row r="1087">
      <c r="V1087" s="29"/>
      <c r="W1087" s="29"/>
      <c r="X1087" s="29"/>
    </row>
    <row r="1088">
      <c r="V1088" s="29"/>
      <c r="W1088" s="29"/>
      <c r="X1088" s="29"/>
    </row>
    <row r="1089">
      <c r="V1089" s="29"/>
      <c r="W1089" s="29"/>
      <c r="X1089" s="29"/>
    </row>
    <row r="1090">
      <c r="V1090" s="29"/>
      <c r="W1090" s="29"/>
      <c r="X1090" s="29"/>
    </row>
    <row r="1091">
      <c r="V1091" s="29"/>
      <c r="W1091" s="29"/>
      <c r="X1091" s="29"/>
    </row>
    <row r="1092">
      <c r="V1092" s="29"/>
      <c r="W1092" s="29"/>
      <c r="X1092" s="29"/>
    </row>
    <row r="1093">
      <c r="V1093" s="29"/>
      <c r="W1093" s="29"/>
      <c r="X1093" s="29"/>
    </row>
    <row r="1094">
      <c r="V1094" s="29"/>
      <c r="W1094" s="29"/>
      <c r="X1094" s="29"/>
    </row>
    <row r="1095">
      <c r="V1095" s="29"/>
      <c r="W1095" s="29"/>
      <c r="X1095" s="29"/>
    </row>
    <row r="1096">
      <c r="V1096" s="29"/>
      <c r="W1096" s="29"/>
      <c r="X1096" s="29"/>
    </row>
    <row r="1097">
      <c r="V1097" s="29"/>
      <c r="W1097" s="29"/>
      <c r="X1097" s="29"/>
    </row>
    <row r="1098">
      <c r="V1098" s="29"/>
      <c r="W1098" s="29"/>
      <c r="X1098" s="29"/>
    </row>
    <row r="1099">
      <c r="V1099" s="29"/>
      <c r="W1099" s="29"/>
      <c r="X1099" s="29"/>
    </row>
    <row r="1100">
      <c r="V1100" s="29"/>
      <c r="W1100" s="29"/>
      <c r="X1100" s="29"/>
    </row>
    <row r="1101">
      <c r="V1101" s="29"/>
      <c r="W1101" s="29"/>
      <c r="X1101" s="29"/>
    </row>
    <row r="1102">
      <c r="V1102" s="29"/>
      <c r="W1102" s="29"/>
      <c r="X1102" s="29"/>
    </row>
    <row r="1103">
      <c r="V1103" s="29"/>
      <c r="W1103" s="29"/>
      <c r="X1103" s="29"/>
    </row>
    <row r="1104">
      <c r="V1104" s="29"/>
      <c r="W1104" s="29"/>
      <c r="X1104" s="29"/>
    </row>
    <row r="1105">
      <c r="V1105" s="29"/>
      <c r="W1105" s="29"/>
      <c r="X1105" s="29"/>
    </row>
    <row r="1106">
      <c r="V1106" s="29"/>
      <c r="W1106" s="29"/>
      <c r="X1106" s="29"/>
    </row>
    <row r="1107">
      <c r="V1107" s="29"/>
      <c r="W1107" s="29"/>
      <c r="X1107" s="29"/>
    </row>
    <row r="1108">
      <c r="V1108" s="29"/>
      <c r="W1108" s="29"/>
      <c r="X1108" s="29"/>
    </row>
    <row r="1109">
      <c r="V1109" s="29"/>
      <c r="W1109" s="29"/>
      <c r="X1109" s="29"/>
    </row>
    <row r="1110">
      <c r="V1110" s="29"/>
      <c r="W1110" s="29"/>
      <c r="X1110" s="29"/>
    </row>
    <row r="1111">
      <c r="V1111" s="29"/>
      <c r="W1111" s="29"/>
      <c r="X1111" s="29"/>
    </row>
    <row r="1112">
      <c r="V1112" s="29"/>
      <c r="W1112" s="29"/>
      <c r="X1112" s="29"/>
    </row>
    <row r="1113">
      <c r="V1113" s="29"/>
      <c r="W1113" s="29"/>
      <c r="X1113" s="29"/>
    </row>
    <row r="1114">
      <c r="V1114" s="29"/>
      <c r="W1114" s="29"/>
      <c r="X1114" s="29"/>
    </row>
    <row r="1115">
      <c r="V1115" s="29"/>
      <c r="W1115" s="29"/>
      <c r="X1115" s="29"/>
    </row>
  </sheetData>
  <autoFilter ref="$A$1:$D$525"/>
  <mergeCells count="11">
    <mergeCell ref="V1:V2"/>
    <mergeCell ref="W1:W2"/>
    <mergeCell ref="X1:X2"/>
    <mergeCell ref="AA1:AD1"/>
    <mergeCell ref="F1:F2"/>
    <mergeCell ref="G1:G2"/>
    <mergeCell ref="H1:H2"/>
    <mergeCell ref="I1:M1"/>
    <mergeCell ref="N1:R1"/>
    <mergeCell ref="T1:T2"/>
    <mergeCell ref="U1:U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9.13"/>
    <col customWidth="1" min="6" max="6" width="40.88"/>
    <col customWidth="1" min="7" max="7" width="15.25"/>
    <col customWidth="1" min="9" max="9" width="22.13"/>
    <col customWidth="1" min="14" max="14" width="10.25"/>
    <col customWidth="1" min="15" max="15" width="15.13"/>
    <col customWidth="1" min="17" max="17" width="19.38"/>
    <col customWidth="1" min="19" max="19" width="18.5"/>
    <col customWidth="1" min="21" max="21" width="21.63"/>
  </cols>
  <sheetData>
    <row r="1">
      <c r="A1" s="11" t="s">
        <v>0</v>
      </c>
      <c r="B1" s="11" t="s">
        <v>176</v>
      </c>
      <c r="C1" s="11" t="s">
        <v>177</v>
      </c>
      <c r="D1" s="11" t="s">
        <v>3</v>
      </c>
      <c r="E1" s="11" t="s">
        <v>178</v>
      </c>
      <c r="G1" s="17" t="s">
        <v>179</v>
      </c>
      <c r="H1" s="24">
        <f>SUM(D7:D10)+D21+D22+D33</f>
        <v>6085000</v>
      </c>
      <c r="J1" s="17" t="s">
        <v>180</v>
      </c>
      <c r="K1" s="21">
        <v>3600000.0</v>
      </c>
      <c r="N1" s="17" t="s">
        <v>181</v>
      </c>
      <c r="O1" s="21">
        <v>351600.0</v>
      </c>
      <c r="P1" s="17" t="s">
        <v>182</v>
      </c>
      <c r="S1" s="9" t="s">
        <v>183</v>
      </c>
    </row>
    <row r="2">
      <c r="A2" s="40">
        <v>44229.0</v>
      </c>
      <c r="B2" s="11" t="s">
        <v>184</v>
      </c>
      <c r="C2" s="11" t="s">
        <v>185</v>
      </c>
      <c r="D2" s="12">
        <v>1000000.0</v>
      </c>
      <c r="E2" s="11" t="s">
        <v>186</v>
      </c>
      <c r="G2" s="17" t="s">
        <v>187</v>
      </c>
      <c r="H2" s="30">
        <v>0.0</v>
      </c>
      <c r="J2" s="17" t="s">
        <v>188</v>
      </c>
      <c r="K2" s="21">
        <f>E35</f>
        <v>28697200</v>
      </c>
      <c r="N2" s="17" t="s">
        <v>189</v>
      </c>
      <c r="O2" s="21">
        <v>1900000.0</v>
      </c>
      <c r="P2" s="17" t="s">
        <v>190</v>
      </c>
      <c r="S2" s="17" t="s">
        <v>191</v>
      </c>
      <c r="T2" s="21">
        <v>400000.0</v>
      </c>
      <c r="U2" s="17" t="s">
        <v>192</v>
      </c>
    </row>
    <row r="3">
      <c r="A3" s="40">
        <v>44243.0</v>
      </c>
      <c r="B3" s="11" t="s">
        <v>193</v>
      </c>
      <c r="C3" s="11" t="s">
        <v>185</v>
      </c>
      <c r="D3" s="12">
        <v>860000.0</v>
      </c>
      <c r="E3" s="11" t="s">
        <v>186</v>
      </c>
      <c r="G3" s="17" t="s">
        <v>194</v>
      </c>
      <c r="H3" s="24">
        <f>L6-sum(H1:H2)</f>
        <v>8309000</v>
      </c>
      <c r="J3" s="17" t="s">
        <v>195</v>
      </c>
      <c r="K3" s="21">
        <v>2300000.0</v>
      </c>
      <c r="N3" s="17" t="s">
        <v>144</v>
      </c>
      <c r="O3" s="21">
        <v>1010000.0</v>
      </c>
      <c r="P3" s="17" t="s">
        <v>182</v>
      </c>
      <c r="S3" s="17" t="s">
        <v>196</v>
      </c>
      <c r="T3" s="21">
        <v>300000.0</v>
      </c>
      <c r="U3" s="17" t="s">
        <v>192</v>
      </c>
    </row>
    <row r="4">
      <c r="A4" s="41">
        <v>44232.0</v>
      </c>
      <c r="B4" s="20" t="s">
        <v>197</v>
      </c>
      <c r="C4" s="20" t="s">
        <v>185</v>
      </c>
      <c r="D4" s="21">
        <v>1000000.0</v>
      </c>
      <c r="E4" s="20" t="s">
        <v>186</v>
      </c>
      <c r="F4" s="17"/>
      <c r="J4" s="42" t="s">
        <v>21</v>
      </c>
      <c r="K4" s="43">
        <f>SUM(K1:K3)</f>
        <v>34597200</v>
      </c>
      <c r="L4" s="24">
        <f>K4/2</f>
        <v>17298600</v>
      </c>
      <c r="N4" s="17" t="s">
        <v>198</v>
      </c>
      <c r="O4" s="21">
        <v>110000.0</v>
      </c>
      <c r="S4" s="17" t="s">
        <v>199</v>
      </c>
      <c r="T4" s="21">
        <v>200000.0</v>
      </c>
      <c r="U4" s="17" t="s">
        <v>192</v>
      </c>
    </row>
    <row r="5">
      <c r="A5" s="41">
        <v>44298.0</v>
      </c>
      <c r="B5" s="20" t="s">
        <v>200</v>
      </c>
      <c r="C5" s="11" t="s">
        <v>185</v>
      </c>
      <c r="D5" s="21">
        <f>2665000+2000000</f>
        <v>4665000</v>
      </c>
      <c r="E5" s="11" t="s">
        <v>186</v>
      </c>
      <c r="F5" s="17" t="s">
        <v>201</v>
      </c>
      <c r="G5" s="17" t="s">
        <v>202</v>
      </c>
      <c r="H5" s="24">
        <f>SUM(D2:D6)+sum(D11:D17)+D24+D26+D30+D31+K3+D23</f>
        <v>22703000</v>
      </c>
      <c r="I5" s="24">
        <f>H5+H1+K5</f>
        <v>34597200</v>
      </c>
      <c r="J5" s="17" t="s">
        <v>183</v>
      </c>
      <c r="K5" s="21">
        <v>5809200.0</v>
      </c>
      <c r="N5" s="17" t="s">
        <v>203</v>
      </c>
      <c r="O5" s="21">
        <f>350000+300000</f>
        <v>650000</v>
      </c>
      <c r="S5" s="17" t="s">
        <v>204</v>
      </c>
      <c r="T5" s="21">
        <v>300000.0</v>
      </c>
      <c r="U5" s="17" t="s">
        <v>192</v>
      </c>
    </row>
    <row r="6">
      <c r="A6" s="41">
        <v>44286.0</v>
      </c>
      <c r="B6" s="20" t="s">
        <v>205</v>
      </c>
      <c r="C6" s="11" t="s">
        <v>185</v>
      </c>
      <c r="D6" s="21">
        <v>1500000.0</v>
      </c>
      <c r="E6" s="11" t="s">
        <v>186</v>
      </c>
      <c r="G6" s="17" t="s">
        <v>206</v>
      </c>
      <c r="H6" s="30">
        <v>0.0</v>
      </c>
      <c r="J6" s="42" t="s">
        <v>207</v>
      </c>
      <c r="K6" s="43">
        <f>K4-K5</f>
        <v>28788000</v>
      </c>
      <c r="L6" s="24">
        <f>K6/2</f>
        <v>14394000</v>
      </c>
      <c r="N6" s="17" t="s">
        <v>208</v>
      </c>
      <c r="O6" s="21">
        <v>600000.0</v>
      </c>
      <c r="S6" s="17" t="s">
        <v>209</v>
      </c>
      <c r="T6" s="21">
        <v>150000.0</v>
      </c>
      <c r="U6" s="17" t="s">
        <v>192</v>
      </c>
    </row>
    <row r="7">
      <c r="A7" s="41">
        <v>44231.0</v>
      </c>
      <c r="B7" s="11" t="s">
        <v>184</v>
      </c>
      <c r="C7" s="20" t="s">
        <v>210</v>
      </c>
      <c r="D7" s="21">
        <v>2600000.0</v>
      </c>
      <c r="E7" s="20" t="s">
        <v>211</v>
      </c>
      <c r="G7" s="17" t="s">
        <v>212</v>
      </c>
      <c r="H7" s="24">
        <f>L6-sum(H5:H6)</f>
        <v>-8309000</v>
      </c>
      <c r="N7" s="42" t="s">
        <v>21</v>
      </c>
      <c r="O7" s="44">
        <f>SUM(O1:O6)</f>
        <v>4621600</v>
      </c>
      <c r="S7" s="17" t="s">
        <v>213</v>
      </c>
      <c r="T7" s="21">
        <v>350000.0</v>
      </c>
      <c r="U7" s="17" t="s">
        <v>192</v>
      </c>
    </row>
    <row r="8">
      <c r="A8" s="41">
        <v>44231.0</v>
      </c>
      <c r="B8" s="20" t="s">
        <v>200</v>
      </c>
      <c r="C8" s="20" t="s">
        <v>214</v>
      </c>
      <c r="D8" s="21">
        <v>400000.0</v>
      </c>
      <c r="E8" s="20" t="s">
        <v>211</v>
      </c>
      <c r="K8" s="17">
        <v>3410000.0</v>
      </c>
      <c r="L8" s="17" t="s">
        <v>215</v>
      </c>
      <c r="S8" s="17" t="s">
        <v>216</v>
      </c>
      <c r="T8" s="21">
        <v>200000.0</v>
      </c>
      <c r="U8" s="17" t="s">
        <v>192</v>
      </c>
    </row>
    <row r="9">
      <c r="A9" s="41">
        <v>44231.0</v>
      </c>
      <c r="B9" s="20" t="s">
        <v>205</v>
      </c>
      <c r="C9" s="20" t="s">
        <v>214</v>
      </c>
      <c r="D9" s="21">
        <v>1500000.0</v>
      </c>
      <c r="E9" s="20" t="s">
        <v>211</v>
      </c>
      <c r="G9" s="17" t="s">
        <v>217</v>
      </c>
      <c r="H9" s="24">
        <f>D19+D20+D25+D27</f>
        <v>5000000</v>
      </c>
      <c r="I9" s="17" t="s">
        <v>218</v>
      </c>
      <c r="K9" s="17">
        <f>7758000</f>
        <v>7758000</v>
      </c>
      <c r="L9" s="17" t="s">
        <v>219</v>
      </c>
      <c r="S9" s="17" t="s">
        <v>220</v>
      </c>
      <c r="T9" s="21">
        <v>150000.0</v>
      </c>
      <c r="U9" s="17" t="s">
        <v>192</v>
      </c>
    </row>
    <row r="10">
      <c r="A10" s="41">
        <v>44356.0</v>
      </c>
      <c r="B10" s="20" t="s">
        <v>200</v>
      </c>
      <c r="C10" s="20" t="s">
        <v>221</v>
      </c>
      <c r="D10" s="21">
        <v>1200000.0</v>
      </c>
      <c r="E10" s="20" t="s">
        <v>211</v>
      </c>
      <c r="F10" s="17" t="s">
        <v>222</v>
      </c>
      <c r="H10" s="24"/>
      <c r="K10" s="17">
        <v>5550000.0</v>
      </c>
      <c r="L10" s="17" t="s">
        <v>223</v>
      </c>
      <c r="S10" s="17" t="s">
        <v>183</v>
      </c>
      <c r="T10" s="21">
        <f>6730000</f>
        <v>6730000</v>
      </c>
      <c r="U10" s="17" t="s">
        <v>224</v>
      </c>
    </row>
    <row r="11">
      <c r="A11" s="10">
        <v>44364.0</v>
      </c>
      <c r="B11" s="20" t="s">
        <v>200</v>
      </c>
      <c r="C11" s="20" t="s">
        <v>225</v>
      </c>
      <c r="D11" s="21">
        <v>280000.0</v>
      </c>
      <c r="E11" s="17" t="s">
        <v>35</v>
      </c>
      <c r="K11" s="17">
        <v>2665000.0</v>
      </c>
      <c r="L11" s="17" t="s">
        <v>226</v>
      </c>
      <c r="S11" s="17" t="s">
        <v>227</v>
      </c>
      <c r="T11" s="21">
        <v>750000.0</v>
      </c>
      <c r="U11" s="17" t="s">
        <v>224</v>
      </c>
    </row>
    <row r="12">
      <c r="A12" s="10">
        <v>44366.0</v>
      </c>
      <c r="B12" s="17" t="s">
        <v>26</v>
      </c>
      <c r="C12" s="20" t="s">
        <v>228</v>
      </c>
      <c r="D12" s="21">
        <v>65000.0</v>
      </c>
      <c r="E12" s="17" t="s">
        <v>35</v>
      </c>
      <c r="K12" s="18">
        <f>3450000-1100000</f>
        <v>2350000</v>
      </c>
      <c r="L12" s="17" t="s">
        <v>229</v>
      </c>
      <c r="S12" s="17" t="s">
        <v>21</v>
      </c>
      <c r="T12" s="24">
        <f>SUM(T2:T11)</f>
        <v>9530000</v>
      </c>
    </row>
    <row r="13">
      <c r="A13" s="10">
        <v>44368.0</v>
      </c>
      <c r="B13" s="17" t="s">
        <v>26</v>
      </c>
      <c r="C13" s="20" t="s">
        <v>230</v>
      </c>
      <c r="D13" s="21">
        <v>120000.0</v>
      </c>
      <c r="E13" s="17" t="s">
        <v>35</v>
      </c>
      <c r="K13" s="17">
        <v>400000.0</v>
      </c>
      <c r="L13" s="17" t="s">
        <v>231</v>
      </c>
    </row>
    <row r="14">
      <c r="A14" s="10">
        <v>44370.0</v>
      </c>
      <c r="B14" s="17" t="s">
        <v>26</v>
      </c>
      <c r="C14" s="20" t="s">
        <v>232</v>
      </c>
      <c r="D14" s="21">
        <v>100000.0</v>
      </c>
      <c r="E14" s="17" t="s">
        <v>35</v>
      </c>
      <c r="K14" s="17">
        <v>1000000.0</v>
      </c>
      <c r="L14" s="17" t="s">
        <v>233</v>
      </c>
    </row>
    <row r="15">
      <c r="A15" s="10">
        <v>44371.0</v>
      </c>
      <c r="B15" s="17" t="s">
        <v>26</v>
      </c>
      <c r="C15" s="20" t="s">
        <v>228</v>
      </c>
      <c r="D15" s="21">
        <v>35000.0</v>
      </c>
      <c r="E15" s="17" t="s">
        <v>35</v>
      </c>
      <c r="K15" s="17">
        <v>1400000.0</v>
      </c>
      <c r="L15" s="17" t="s">
        <v>234</v>
      </c>
    </row>
    <row r="16">
      <c r="A16" s="10">
        <v>44373.0</v>
      </c>
      <c r="B16" s="20" t="s">
        <v>200</v>
      </c>
      <c r="C16" s="20" t="s">
        <v>235</v>
      </c>
      <c r="D16" s="21">
        <v>1851000.0</v>
      </c>
      <c r="E16" s="17" t="s">
        <v>35</v>
      </c>
      <c r="K16" s="45">
        <f>SUM(K8:K15)</f>
        <v>24533000</v>
      </c>
    </row>
    <row r="17">
      <c r="A17" s="10">
        <v>44376.0</v>
      </c>
      <c r="B17" s="11" t="s">
        <v>193</v>
      </c>
      <c r="C17" s="20" t="s">
        <v>235</v>
      </c>
      <c r="D17" s="21">
        <v>2550000.0</v>
      </c>
      <c r="E17" s="20" t="s">
        <v>35</v>
      </c>
    </row>
    <row r="18">
      <c r="A18" s="10">
        <v>44384.0</v>
      </c>
      <c r="B18" s="20" t="s">
        <v>236</v>
      </c>
      <c r="C18" s="20" t="s">
        <v>237</v>
      </c>
      <c r="D18" s="21">
        <v>106000.0</v>
      </c>
      <c r="E18" s="20" t="s">
        <v>183</v>
      </c>
      <c r="F18" s="24">
        <f>D18+D19+D20+D25+D27+D28+D29+D32</f>
        <v>5809200</v>
      </c>
    </row>
    <row r="19">
      <c r="A19" s="10">
        <v>44384.0</v>
      </c>
      <c r="B19" s="20" t="s">
        <v>234</v>
      </c>
      <c r="C19" s="20" t="s">
        <v>238</v>
      </c>
      <c r="D19" s="21">
        <v>1470000.0</v>
      </c>
      <c r="E19" s="20" t="s">
        <v>239</v>
      </c>
    </row>
    <row r="20">
      <c r="A20" s="10">
        <v>44384.0</v>
      </c>
      <c r="B20" s="20" t="s">
        <v>240</v>
      </c>
      <c r="C20" s="20" t="s">
        <v>195</v>
      </c>
      <c r="D20" s="21">
        <v>2300000.0</v>
      </c>
      <c r="E20" s="20" t="s">
        <v>239</v>
      </c>
    </row>
    <row r="21">
      <c r="A21" s="10">
        <v>44385.0</v>
      </c>
      <c r="B21" s="17" t="s">
        <v>241</v>
      </c>
      <c r="C21" s="20" t="s">
        <v>242</v>
      </c>
      <c r="D21" s="21">
        <v>85000.0</v>
      </c>
      <c r="E21" s="20" t="s">
        <v>211</v>
      </c>
    </row>
    <row r="22">
      <c r="A22" s="10">
        <v>44385.0</v>
      </c>
      <c r="B22" s="17" t="s">
        <v>243</v>
      </c>
      <c r="C22" s="20" t="s">
        <v>244</v>
      </c>
      <c r="D22" s="21">
        <v>50000.0</v>
      </c>
      <c r="E22" s="20" t="s">
        <v>211</v>
      </c>
    </row>
    <row r="23">
      <c r="A23" s="10">
        <v>44385.0</v>
      </c>
      <c r="B23" s="20" t="s">
        <v>200</v>
      </c>
      <c r="C23" s="20" t="s">
        <v>245</v>
      </c>
      <c r="D23" s="21">
        <v>-358000.0</v>
      </c>
      <c r="E23" s="17" t="s">
        <v>246</v>
      </c>
    </row>
    <row r="24">
      <c r="A24" s="10">
        <v>44386.0</v>
      </c>
      <c r="B24" s="20" t="s">
        <v>205</v>
      </c>
      <c r="C24" s="20" t="s">
        <v>210</v>
      </c>
      <c r="D24" s="21">
        <v>2192000.0</v>
      </c>
      <c r="E24" s="17" t="s">
        <v>35</v>
      </c>
      <c r="F24" s="46" t="s">
        <v>247</v>
      </c>
      <c r="H24" s="24">
        <f>400000-D18-D28</f>
        <v>100800</v>
      </c>
      <c r="I24" s="24">
        <f>H24-96472</f>
        <v>4328</v>
      </c>
    </row>
    <row r="25">
      <c r="A25" s="10">
        <v>44386.0</v>
      </c>
      <c r="B25" s="20" t="s">
        <v>246</v>
      </c>
      <c r="C25" s="20" t="s">
        <v>233</v>
      </c>
      <c r="D25" s="21">
        <v>1004800.0</v>
      </c>
      <c r="E25" s="17" t="s">
        <v>239</v>
      </c>
    </row>
    <row r="26">
      <c r="A26" s="10">
        <v>44386.0</v>
      </c>
      <c r="B26" s="20" t="s">
        <v>246</v>
      </c>
      <c r="C26" s="20" t="s">
        <v>248</v>
      </c>
      <c r="D26" s="21">
        <v>528000.0</v>
      </c>
      <c r="E26" s="17" t="s">
        <v>35</v>
      </c>
    </row>
    <row r="27">
      <c r="A27" s="10">
        <v>44386.0</v>
      </c>
      <c r="B27" s="20" t="s">
        <v>246</v>
      </c>
      <c r="C27" s="20" t="s">
        <v>248</v>
      </c>
      <c r="D27" s="21">
        <v>225200.0</v>
      </c>
      <c r="E27" s="17" t="s">
        <v>239</v>
      </c>
    </row>
    <row r="28">
      <c r="A28" s="10">
        <v>44386.0</v>
      </c>
      <c r="B28" s="20" t="s">
        <v>246</v>
      </c>
      <c r="C28" s="20" t="s">
        <v>248</v>
      </c>
      <c r="D28" s="21">
        <v>193200.0</v>
      </c>
      <c r="E28" s="20" t="s">
        <v>183</v>
      </c>
      <c r="F28" s="17" t="s">
        <v>249</v>
      </c>
    </row>
    <row r="29">
      <c r="A29" s="10">
        <v>44386.0</v>
      </c>
      <c r="B29" s="20" t="s">
        <v>250</v>
      </c>
      <c r="C29" s="20" t="s">
        <v>248</v>
      </c>
      <c r="D29" s="21">
        <v>60000.0</v>
      </c>
      <c r="E29" s="20" t="s">
        <v>183</v>
      </c>
    </row>
    <row r="30">
      <c r="A30" s="10">
        <v>44386.0</v>
      </c>
      <c r="B30" s="20" t="s">
        <v>251</v>
      </c>
      <c r="C30" s="20" t="s">
        <v>252</v>
      </c>
      <c r="D30" s="21">
        <f>3450000-1100000</f>
        <v>2350000</v>
      </c>
      <c r="E30" s="20" t="s">
        <v>186</v>
      </c>
    </row>
    <row r="31">
      <c r="A31" s="10">
        <v>44386.0</v>
      </c>
      <c r="B31" s="20" t="s">
        <v>197</v>
      </c>
      <c r="C31" s="20" t="s">
        <v>185</v>
      </c>
      <c r="D31" s="21">
        <f>2665000-1000000</f>
        <v>1665000</v>
      </c>
      <c r="E31" s="20" t="s">
        <v>186</v>
      </c>
    </row>
    <row r="32">
      <c r="A32" s="10">
        <v>44404.0</v>
      </c>
      <c r="B32" s="20" t="s">
        <v>246</v>
      </c>
      <c r="C32" s="20" t="s">
        <v>253</v>
      </c>
      <c r="D32" s="21">
        <f>450000</f>
        <v>450000</v>
      </c>
      <c r="E32" s="20" t="s">
        <v>183</v>
      </c>
    </row>
    <row r="33">
      <c r="A33" s="10">
        <v>44404.0</v>
      </c>
      <c r="B33" s="20" t="s">
        <v>246</v>
      </c>
      <c r="C33" s="20" t="s">
        <v>253</v>
      </c>
      <c r="D33" s="21">
        <f>700000-D32</f>
        <v>250000</v>
      </c>
      <c r="E33" s="20" t="s">
        <v>211</v>
      </c>
    </row>
    <row r="35">
      <c r="D35" s="24">
        <f>SUM(D2:D33)</f>
        <v>32297200</v>
      </c>
      <c r="E35" s="24">
        <f>D35-K1</f>
        <v>28697200</v>
      </c>
      <c r="F35" s="24">
        <f>K2-E35</f>
        <v>0</v>
      </c>
      <c r="G35" s="24">
        <f>F35-1900000</f>
        <v>-1900000</v>
      </c>
    </row>
    <row r="37">
      <c r="F37" s="18">
        <f>E37+1400000+1000000</f>
        <v>2400000</v>
      </c>
    </row>
  </sheetData>
  <autoFilter ref="$A$1:$E$33"/>
  <mergeCells count="2">
    <mergeCell ref="S1:U1"/>
    <mergeCell ref="F24:F27"/>
  </mergeCells>
  <drawing r:id="rId1"/>
</worksheet>
</file>